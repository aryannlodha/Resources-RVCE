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n\Desktop\Classroom\4th Semester\Operations Research\"/>
    </mc:Choice>
  </mc:AlternateContent>
  <xr:revisionPtr revIDLastSave="0" documentId="13_ncr:1_{AE66809A-0E0C-4E5B-9AB1-2FF10B303542}" xr6:coauthVersionLast="47" xr6:coauthVersionMax="47" xr10:uidLastSave="{00000000-0000-0000-0000-000000000000}"/>
  <bookViews>
    <workbookView xWindow="-108" yWindow="-108" windowWidth="23256" windowHeight="12456" tabRatio="851" firstSheet="3" activeTab="10" xr2:uid="{D162A0CB-6D96-4F91-B5B9-219786D9B0B1}"/>
  </bookViews>
  <sheets>
    <sheet name="Ans EX.2 P1" sheetId="13" r:id="rId1"/>
    <sheet name="EX.2 P1" sheetId="7" r:id="rId2"/>
    <sheet name="Ans EX.2 P2" sheetId="14" r:id="rId3"/>
    <sheet name="EX.2 P2" sheetId="8" r:id="rId4"/>
    <sheet name="EX.2 P3" sheetId="9" r:id="rId5"/>
    <sheet name="Ans EX.3 P1" sheetId="15" r:id="rId6"/>
    <sheet name="EX.3 P1" sheetId="10" r:id="rId7"/>
    <sheet name="Answer Report 1" sheetId="16" r:id="rId8"/>
    <sheet name="EX.3 P2" sheetId="11" r:id="rId9"/>
    <sheet name="EX.3 P3" sheetId="12" r:id="rId10"/>
    <sheet name="Answer Report 2" sheetId="26" r:id="rId11"/>
    <sheet name="Sensitivity Report 1" sheetId="27" r:id="rId12"/>
    <sheet name="Sheet15" sheetId="17" r:id="rId13"/>
    <sheet name="Sheet21" sheetId="23" r:id="rId14"/>
  </sheets>
  <definedNames>
    <definedName name="_xlnm.Print_Area" localSheetId="1">'EX.2 P1'!$A$1:$N$8</definedName>
    <definedName name="solver_adj" localSheetId="1" hidden="1">'EX.2 P1'!$I$4:$J$4</definedName>
    <definedName name="solver_adj" localSheetId="3" hidden="1">'EX.2 P2'!$J$4:$L$4</definedName>
    <definedName name="solver_adj" localSheetId="6" hidden="1">'EX.3 P1'!$I$4:$J$4</definedName>
    <definedName name="solver_adj" localSheetId="8" hidden="1">'EX.3 P2'!$N$4:$T$4</definedName>
    <definedName name="solver_adj" localSheetId="12" hidden="1">Sheet15!$E$27:$H$30</definedName>
    <definedName name="solver_adj" localSheetId="13" hidden="1">Sheet21!$C$11:$F$14</definedName>
    <definedName name="solver_cvg" localSheetId="1" hidden="1">0.0001</definedName>
    <definedName name="solver_cvg" localSheetId="3" hidden="1">0.0001</definedName>
    <definedName name="solver_cvg" localSheetId="6" hidden="1">0.0001</definedName>
    <definedName name="solver_cvg" localSheetId="8" hidden="1">0.0001</definedName>
    <definedName name="solver_cvg" localSheetId="12" hidden="1">0.0001</definedName>
    <definedName name="solver_cvg" localSheetId="13" hidden="1">0.0001</definedName>
    <definedName name="solver_drv" localSheetId="1" hidden="1">1</definedName>
    <definedName name="solver_drv" localSheetId="3" hidden="1">1</definedName>
    <definedName name="solver_drv" localSheetId="6" hidden="1">1</definedName>
    <definedName name="solver_drv" localSheetId="8" hidden="1">1</definedName>
    <definedName name="solver_drv" localSheetId="12" hidden="1">2</definedName>
    <definedName name="solver_drv" localSheetId="13" hidden="1">1</definedName>
    <definedName name="solver_eng" localSheetId="1" hidden="1">2</definedName>
    <definedName name="solver_eng" localSheetId="3" hidden="1">2</definedName>
    <definedName name="solver_eng" localSheetId="6" hidden="1">2</definedName>
    <definedName name="solver_eng" localSheetId="8" hidden="1">2</definedName>
    <definedName name="solver_eng" localSheetId="12" hidden="1">2</definedName>
    <definedName name="solver_eng" localSheetId="13" hidden="1">2</definedName>
    <definedName name="solver_est" localSheetId="1" hidden="1">1</definedName>
    <definedName name="solver_est" localSheetId="3" hidden="1">1</definedName>
    <definedName name="solver_est" localSheetId="6" hidden="1">1</definedName>
    <definedName name="solver_est" localSheetId="8" hidden="1">1</definedName>
    <definedName name="solver_est" localSheetId="12" hidden="1">1</definedName>
    <definedName name="solver_est" localSheetId="13" hidden="1">1</definedName>
    <definedName name="solver_itr" localSheetId="1" hidden="1">2147483647</definedName>
    <definedName name="solver_itr" localSheetId="3" hidden="1">2147483647</definedName>
    <definedName name="solver_itr" localSheetId="6" hidden="1">2147483647</definedName>
    <definedName name="solver_itr" localSheetId="8" hidden="1">2147483647</definedName>
    <definedName name="solver_itr" localSheetId="12" hidden="1">2147483647</definedName>
    <definedName name="solver_itr" localSheetId="13" hidden="1">2147483647</definedName>
    <definedName name="solver_lhs1" localSheetId="1" hidden="1">'EX.2 P1'!$E$4:$E$6</definedName>
    <definedName name="solver_lhs1" localSheetId="3" hidden="1">'EX.2 P2'!$F$4:$F$6</definedName>
    <definedName name="solver_lhs1" localSheetId="6" hidden="1">'EX.3 P1'!$E$4:$E$5</definedName>
    <definedName name="solver_lhs1" localSheetId="8" hidden="1">'EX.3 P2'!$J$12:$J$18</definedName>
    <definedName name="solver_lhs1" localSheetId="12" hidden="1">Sheet15!$E$31:$H$31</definedName>
    <definedName name="solver_lhs1" localSheetId="13" hidden="1">Sheet21!$C$15:$F$15</definedName>
    <definedName name="solver_lhs2" localSheetId="1" hidden="1">'EX.2 P1'!$I$4:$J$4</definedName>
    <definedName name="solver_lhs2" localSheetId="3" hidden="1">'EX.2 P2'!$J$4:$L$4</definedName>
    <definedName name="solver_lhs2" localSheetId="6" hidden="1">'EX.3 P1'!$E$6:$E$7</definedName>
    <definedName name="solver_lhs2" localSheetId="8" hidden="1">'EX.3 P2'!$J$4:$J$10</definedName>
    <definedName name="solver_lhs2" localSheetId="12" hidden="1">Sheet15!$I$27:$I$30</definedName>
    <definedName name="solver_lhs2" localSheetId="13" hidden="1">Sheet21!$G$11:$G$14</definedName>
    <definedName name="solver_lhs3" localSheetId="6" hidden="1">'EX.3 P1'!$I$4:$J$4</definedName>
    <definedName name="solver_lhs3" localSheetId="8" hidden="1">'EX.3 P2'!$N$4:$T$4</definedName>
    <definedName name="solver_mip" localSheetId="1" hidden="1">2147483647</definedName>
    <definedName name="solver_mip" localSheetId="3" hidden="1">2147483647</definedName>
    <definedName name="solver_mip" localSheetId="6" hidden="1">2147483647</definedName>
    <definedName name="solver_mip" localSheetId="8" hidden="1">2147483647</definedName>
    <definedName name="solver_mip" localSheetId="12" hidden="1">2147483647</definedName>
    <definedName name="solver_mip" localSheetId="13" hidden="1">2147483647</definedName>
    <definedName name="solver_mni" localSheetId="1" hidden="1">30</definedName>
    <definedName name="solver_mni" localSheetId="3" hidden="1">30</definedName>
    <definedName name="solver_mni" localSheetId="6" hidden="1">30</definedName>
    <definedName name="solver_mni" localSheetId="8" hidden="1">30</definedName>
    <definedName name="solver_mni" localSheetId="12" hidden="1">30</definedName>
    <definedName name="solver_mni" localSheetId="13" hidden="1">30</definedName>
    <definedName name="solver_mrt" localSheetId="1" hidden="1">0.075</definedName>
    <definedName name="solver_mrt" localSheetId="3" hidden="1">0.075</definedName>
    <definedName name="solver_mrt" localSheetId="6" hidden="1">0.075</definedName>
    <definedName name="solver_mrt" localSheetId="8" hidden="1">0.075</definedName>
    <definedName name="solver_mrt" localSheetId="12" hidden="1">0.075</definedName>
    <definedName name="solver_mrt" localSheetId="13" hidden="1">0.075</definedName>
    <definedName name="solver_msl" localSheetId="1" hidden="1">2</definedName>
    <definedName name="solver_msl" localSheetId="3" hidden="1">2</definedName>
    <definedName name="solver_msl" localSheetId="6" hidden="1">2</definedName>
    <definedName name="solver_msl" localSheetId="8" hidden="1">2</definedName>
    <definedName name="solver_msl" localSheetId="12" hidden="1">2</definedName>
    <definedName name="solver_msl" localSheetId="13" hidden="1">2</definedName>
    <definedName name="solver_neg" localSheetId="1" hidden="1">1</definedName>
    <definedName name="solver_neg" localSheetId="3" hidden="1">1</definedName>
    <definedName name="solver_neg" localSheetId="6" hidden="1">1</definedName>
    <definedName name="solver_neg" localSheetId="8" hidden="1">1</definedName>
    <definedName name="solver_neg" localSheetId="12" hidden="1">1</definedName>
    <definedName name="solver_neg" localSheetId="13" hidden="1">1</definedName>
    <definedName name="solver_nod" localSheetId="1" hidden="1">2147483647</definedName>
    <definedName name="solver_nod" localSheetId="3" hidden="1">2147483647</definedName>
    <definedName name="solver_nod" localSheetId="6" hidden="1">2147483647</definedName>
    <definedName name="solver_nod" localSheetId="8" hidden="1">2147483647</definedName>
    <definedName name="solver_nod" localSheetId="12" hidden="1">2147483647</definedName>
    <definedName name="solver_nod" localSheetId="13" hidden="1">2147483647</definedName>
    <definedName name="solver_num" localSheetId="1" hidden="1">2</definedName>
    <definedName name="solver_num" localSheetId="3" hidden="1">2</definedName>
    <definedName name="solver_num" localSheetId="6" hidden="1">3</definedName>
    <definedName name="solver_num" localSheetId="8" hidden="1">3</definedName>
    <definedName name="solver_num" localSheetId="12" hidden="1">2</definedName>
    <definedName name="solver_num" localSheetId="13" hidden="1">2</definedName>
    <definedName name="solver_nwt" localSheetId="1" hidden="1">1</definedName>
    <definedName name="solver_nwt" localSheetId="3" hidden="1">1</definedName>
    <definedName name="solver_nwt" localSheetId="6" hidden="1">1</definedName>
    <definedName name="solver_nwt" localSheetId="8" hidden="1">1</definedName>
    <definedName name="solver_nwt" localSheetId="12" hidden="1">1</definedName>
    <definedName name="solver_nwt" localSheetId="13" hidden="1">1</definedName>
    <definedName name="solver_opt" localSheetId="1" hidden="1">'EX.2 P1'!$E$3</definedName>
    <definedName name="solver_opt" localSheetId="3" hidden="1">'EX.2 P2'!$F$3</definedName>
    <definedName name="solver_opt" localSheetId="6" hidden="1">'EX.3 P1'!$E$3</definedName>
    <definedName name="solver_opt" localSheetId="8" hidden="1">'EX.3 P2'!$J$3</definedName>
    <definedName name="solver_opt" localSheetId="12" hidden="1">Sheet15!$K$19</definedName>
    <definedName name="solver_opt" localSheetId="13" hidden="1">Sheet21!$I$3</definedName>
    <definedName name="solver_pre" localSheetId="1" hidden="1">0.000001</definedName>
    <definedName name="solver_pre" localSheetId="3" hidden="1">0.000001</definedName>
    <definedName name="solver_pre" localSheetId="6" hidden="1">0.000001</definedName>
    <definedName name="solver_pre" localSheetId="8" hidden="1">0.000001</definedName>
    <definedName name="solver_pre" localSheetId="12" hidden="1">0.000001</definedName>
    <definedName name="solver_pre" localSheetId="13" hidden="1">0.000001</definedName>
    <definedName name="solver_rbv" localSheetId="1" hidden="1">1</definedName>
    <definedName name="solver_rbv" localSheetId="3" hidden="1">1</definedName>
    <definedName name="solver_rbv" localSheetId="6" hidden="1">1</definedName>
    <definedName name="solver_rbv" localSheetId="8" hidden="1">1</definedName>
    <definedName name="solver_rbv" localSheetId="12" hidden="1">2</definedName>
    <definedName name="solver_rbv" localSheetId="13" hidden="1">1</definedName>
    <definedName name="solver_rel1" localSheetId="1" hidden="1">1</definedName>
    <definedName name="solver_rel1" localSheetId="3" hidden="1">1</definedName>
    <definedName name="solver_rel1" localSheetId="6" hidden="1">1</definedName>
    <definedName name="solver_rel1" localSheetId="8" hidden="1">1</definedName>
    <definedName name="solver_rel1" localSheetId="12" hidden="1">2</definedName>
    <definedName name="solver_rel1" localSheetId="13" hidden="1">2</definedName>
    <definedName name="solver_rel2" localSheetId="1" hidden="1">3</definedName>
    <definedName name="solver_rel2" localSheetId="3" hidden="1">3</definedName>
    <definedName name="solver_rel2" localSheetId="6" hidden="1">3</definedName>
    <definedName name="solver_rel2" localSheetId="8" hidden="1">3</definedName>
    <definedName name="solver_rel2" localSheetId="12" hidden="1">2</definedName>
    <definedName name="solver_rel2" localSheetId="13" hidden="1">2</definedName>
    <definedName name="solver_rel3" localSheetId="6" hidden="1">3</definedName>
    <definedName name="solver_rel3" localSheetId="8" hidden="1">3</definedName>
    <definedName name="solver_rhs1" localSheetId="1" hidden="1">'EX.2 P1'!$G$4:$G$6</definedName>
    <definedName name="solver_rhs1" localSheetId="3" hidden="1">'EX.2 P2'!$H$4:$H$6</definedName>
    <definedName name="solver_rhs1" localSheetId="6" hidden="1">'EX.3 P1'!$G$4:$G$5</definedName>
    <definedName name="solver_rhs1" localSheetId="8" hidden="1">'EX.3 P2'!$L$12:$L$18</definedName>
    <definedName name="solver_rhs1" localSheetId="12" hidden="1">Sheet15!$E$33:$H$33</definedName>
    <definedName name="solver_rhs1" localSheetId="13" hidden="1">Sheet21!$C$17:$F$17</definedName>
    <definedName name="solver_rhs2" localSheetId="1" hidden="1">0</definedName>
    <definedName name="solver_rhs2" localSheetId="3" hidden="1">0</definedName>
    <definedName name="solver_rhs2" localSheetId="6" hidden="1">'EX.3 P1'!$G$6:$G$7</definedName>
    <definedName name="solver_rhs2" localSheetId="8" hidden="1">'EX.3 P2'!$L$4:$L$10</definedName>
    <definedName name="solver_rhs2" localSheetId="12" hidden="1">Sheet15!$K$27:$K$30</definedName>
    <definedName name="solver_rhs2" localSheetId="13" hidden="1">Sheet21!$I$11:$I$14</definedName>
    <definedName name="solver_rhs3" localSheetId="6" hidden="1">0</definedName>
    <definedName name="solver_rhs3" localSheetId="8" hidden="1">0</definedName>
    <definedName name="solver_rlx" localSheetId="1" hidden="1">2</definedName>
    <definedName name="solver_rlx" localSheetId="3" hidden="1">2</definedName>
    <definedName name="solver_rlx" localSheetId="6" hidden="1">2</definedName>
    <definedName name="solver_rlx" localSheetId="8" hidden="1">2</definedName>
    <definedName name="solver_rlx" localSheetId="12" hidden="1">2</definedName>
    <definedName name="solver_rlx" localSheetId="13" hidden="1">2</definedName>
    <definedName name="solver_rsd" localSheetId="1" hidden="1">0</definedName>
    <definedName name="solver_rsd" localSheetId="3" hidden="1">0</definedName>
    <definedName name="solver_rsd" localSheetId="6" hidden="1">0</definedName>
    <definedName name="solver_rsd" localSheetId="8" hidden="1">0</definedName>
    <definedName name="solver_rsd" localSheetId="12" hidden="1">0</definedName>
    <definedName name="solver_rsd" localSheetId="13" hidden="1">0</definedName>
    <definedName name="solver_scl" localSheetId="1" hidden="1">1</definedName>
    <definedName name="solver_scl" localSheetId="3" hidden="1">1</definedName>
    <definedName name="solver_scl" localSheetId="6" hidden="1">1</definedName>
    <definedName name="solver_scl" localSheetId="8" hidden="1">1</definedName>
    <definedName name="solver_scl" localSheetId="12" hidden="1">2</definedName>
    <definedName name="solver_scl" localSheetId="13" hidden="1">1</definedName>
    <definedName name="solver_sho" localSheetId="1" hidden="1">2</definedName>
    <definedName name="solver_sho" localSheetId="3" hidden="1">2</definedName>
    <definedName name="solver_sho" localSheetId="6" hidden="1">2</definedName>
    <definedName name="solver_sho" localSheetId="8" hidden="1">2</definedName>
    <definedName name="solver_sho" localSheetId="12" hidden="1">2</definedName>
    <definedName name="solver_sho" localSheetId="13" hidden="1">2</definedName>
    <definedName name="solver_ssz" localSheetId="1" hidden="1">100</definedName>
    <definedName name="solver_ssz" localSheetId="3" hidden="1">100</definedName>
    <definedName name="solver_ssz" localSheetId="6" hidden="1">100</definedName>
    <definedName name="solver_ssz" localSheetId="8" hidden="1">100</definedName>
    <definedName name="solver_ssz" localSheetId="12" hidden="1">100</definedName>
    <definedName name="solver_ssz" localSheetId="13" hidden="1">100</definedName>
    <definedName name="solver_tim" localSheetId="1" hidden="1">2147483647</definedName>
    <definedName name="solver_tim" localSheetId="3" hidden="1">2147483647</definedName>
    <definedName name="solver_tim" localSheetId="6" hidden="1">2147483647</definedName>
    <definedName name="solver_tim" localSheetId="8" hidden="1">2147483647</definedName>
    <definedName name="solver_tim" localSheetId="12" hidden="1">2147483647</definedName>
    <definedName name="solver_tim" localSheetId="13" hidden="1">2147483647</definedName>
    <definedName name="solver_tol" localSheetId="1" hidden="1">0.01</definedName>
    <definedName name="solver_tol" localSheetId="3" hidden="1">0.01</definedName>
    <definedName name="solver_tol" localSheetId="6" hidden="1">0.01</definedName>
    <definedName name="solver_tol" localSheetId="8" hidden="1">0.01</definedName>
    <definedName name="solver_tol" localSheetId="12" hidden="1">0.01</definedName>
    <definedName name="solver_tol" localSheetId="13" hidden="1">0.01</definedName>
    <definedName name="solver_typ" localSheetId="1" hidden="1">1</definedName>
    <definedName name="solver_typ" localSheetId="3" hidden="1">1</definedName>
    <definedName name="solver_typ" localSheetId="6" hidden="1">2</definedName>
    <definedName name="solver_typ" localSheetId="8" hidden="1">2</definedName>
    <definedName name="solver_typ" localSheetId="12" hidden="1">2</definedName>
    <definedName name="solver_typ" localSheetId="13" hidden="1">2</definedName>
    <definedName name="solver_val" localSheetId="1" hidden="1">0</definedName>
    <definedName name="solver_val" localSheetId="3" hidden="1">0</definedName>
    <definedName name="solver_val" localSheetId="6" hidden="1">0</definedName>
    <definedName name="solver_val" localSheetId="8" hidden="1">0</definedName>
    <definedName name="solver_val" localSheetId="12" hidden="1">0</definedName>
    <definedName name="solver_val" localSheetId="13" hidden="1">0</definedName>
    <definedName name="solver_ver" localSheetId="1" hidden="1">3</definedName>
    <definedName name="solver_ver" localSheetId="3" hidden="1">3</definedName>
    <definedName name="solver_ver" localSheetId="6" hidden="1">3</definedName>
    <definedName name="solver_ver" localSheetId="8" hidden="1">3</definedName>
    <definedName name="solver_ver" localSheetId="12" hidden="1">3</definedName>
    <definedName name="solver_ver" localSheetId="1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7" l="1"/>
  <c r="G31" i="17"/>
  <c r="F31" i="17"/>
  <c r="E31" i="17"/>
  <c r="I30" i="17"/>
  <c r="I29" i="17"/>
  <c r="I28" i="17"/>
  <c r="I27" i="17"/>
  <c r="K19" i="17"/>
  <c r="F15" i="23"/>
  <c r="G11" i="23"/>
  <c r="I3" i="23"/>
  <c r="E15" i="23"/>
  <c r="D15" i="23"/>
  <c r="C15" i="23"/>
  <c r="G14" i="23"/>
  <c r="G13" i="23"/>
  <c r="G12" i="23"/>
  <c r="J4" i="11"/>
  <c r="J5" i="11"/>
  <c r="J6" i="11"/>
  <c r="J7" i="11"/>
  <c r="J8" i="11"/>
  <c r="J9" i="11"/>
  <c r="J10" i="11"/>
  <c r="J12" i="11"/>
  <c r="J13" i="11"/>
  <c r="J14" i="11"/>
  <c r="J15" i="11"/>
  <c r="J16" i="11"/>
  <c r="J17" i="11"/>
  <c r="J18" i="11"/>
  <c r="J3" i="11"/>
  <c r="E4" i="10"/>
  <c r="E5" i="10"/>
  <c r="E6" i="10"/>
  <c r="E7" i="10"/>
  <c r="E3" i="10"/>
  <c r="H4" i="9"/>
  <c r="H5" i="9"/>
  <c r="H6" i="9"/>
  <c r="H3" i="9"/>
  <c r="F4" i="8"/>
  <c r="F5" i="8"/>
  <c r="F6" i="8"/>
  <c r="F3" i="8"/>
  <c r="E4" i="7"/>
  <c r="E5" i="7"/>
  <c r="E6" i="7"/>
  <c r="E3" i="7"/>
</calcChain>
</file>

<file path=xl/sharedStrings.xml><?xml version="1.0" encoding="utf-8"?>
<sst xmlns="http://schemas.openxmlformats.org/spreadsheetml/2006/main" count="682" uniqueCount="235">
  <si>
    <t>Constraints</t>
  </si>
  <si>
    <t>Microsoft Excel 16.0 Answer Report</t>
  </si>
  <si>
    <t>Result: Solver found a solution.  All Constraints and optimality conditions are satisfied.</t>
  </si>
  <si>
    <t>Solver Engine</t>
  </si>
  <si>
    <t>Engine: Simplex LP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</si>
  <si>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</si>
  <si>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</si>
  <si>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</si>
  <si>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</si>
  <si>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</si>
  <si>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</si>
  <si>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</si>
  <si>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</si>
  <si>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</si>
  <si>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</si>
  <si>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Cell Value</t>
  </si>
  <si>
    <t>Formula</t>
  </si>
  <si>
    <t>Status</t>
  </si>
  <si>
    <t>Slack</t>
  </si>
  <si>
    <t>Contin</t>
  </si>
  <si>
    <t>Binding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</si>
  <si>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</si>
  <si>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</si>
  <si>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</si>
  <si>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</si>
  <si>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</si>
  <si>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</si>
  <si>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</si>
  <si>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</si>
  <si>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</si>
  <si>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</si>
  <si>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</si>
  <si>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</si>
  <si>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</si>
  <si>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</si>
  <si>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DECISION VARIABLES</t>
  </si>
  <si>
    <t>OBJECTIVE FUNCTION</t>
  </si>
  <si>
    <t>X1</t>
  </si>
  <si>
    <t>X2</t>
  </si>
  <si>
    <t>Z</t>
  </si>
  <si>
    <t>BUDGET</t>
  </si>
  <si>
    <t>MACHINE TIME</t>
  </si>
  <si>
    <t>ASSEMBLY TIME</t>
  </si>
  <si>
    <t>OUTPUT</t>
  </si>
  <si>
    <t>Iterations: 2 Subproblems: 0</t>
  </si>
  <si>
    <t>Max Time Unlimited,  Iterations Unlimited, Precision 0.000001</t>
  </si>
  <si>
    <t>$E$3</t>
  </si>
  <si>
    <t>OBJECTIVE FUNCTION Z</t>
  </si>
  <si>
    <t>$E$4</t>
  </si>
  <si>
    <t>BUDGET Z</t>
  </si>
  <si>
    <t>$E$4&lt;=$G$4</t>
  </si>
  <si>
    <t>$E$5</t>
  </si>
  <si>
    <t>MACHINE TIME Z</t>
  </si>
  <si>
    <t>$E$5&lt;=$G$5</t>
  </si>
  <si>
    <t>Not Binding</t>
  </si>
  <si>
    <t>$E$6</t>
  </si>
  <si>
    <t>ASSEMBLY TIME Z</t>
  </si>
  <si>
    <t>$E$6&lt;=$G$6</t>
  </si>
  <si>
    <t>≤</t>
  </si>
  <si>
    <t>Worksheet: [OR LAB.xlsx]EX.2 P1</t>
  </si>
  <si>
    <t>Report Created: 21-06-2026 01:05:54 PM</t>
  </si>
  <si>
    <t>Solution Time: 0.047 Seconds.</t>
  </si>
  <si>
    <t>$I$4</t>
  </si>
  <si>
    <t>≤ X1</t>
  </si>
  <si>
    <t>$J$4</t>
  </si>
  <si>
    <t>≤ X2</t>
  </si>
  <si>
    <t>$I$4&gt;=0</t>
  </si>
  <si>
    <t>$J$4&gt;=0</t>
  </si>
  <si>
    <t>X3</t>
  </si>
  <si>
    <t>WEAVING</t>
  </si>
  <si>
    <t>PROCESSING</t>
  </si>
  <si>
    <t>PACKAGING</t>
  </si>
  <si>
    <t>Worksheet: [OR LAB.xlsx]EX.2 P2</t>
  </si>
  <si>
    <t>Report Created: 21-06-2026 01:11:57 PM</t>
  </si>
  <si>
    <t>Solution Time: 0.032 Seconds.</t>
  </si>
  <si>
    <t>Iterations: 1 Subproblems: 0</t>
  </si>
  <si>
    <t>$F$3</t>
  </si>
  <si>
    <t>$K$4</t>
  </si>
  <si>
    <t>$L$4</t>
  </si>
  <si>
    <t>≤ X3</t>
  </si>
  <si>
    <t>$F$4</t>
  </si>
  <si>
    <t>WEAVING Z</t>
  </si>
  <si>
    <t>$F$4&lt;=$H$4</t>
  </si>
  <si>
    <t>$F$5</t>
  </si>
  <si>
    <t>PROCESSING Z</t>
  </si>
  <si>
    <t>$F$5&lt;=$H$5</t>
  </si>
  <si>
    <t>$F$6</t>
  </si>
  <si>
    <t>PACKAGING Z</t>
  </si>
  <si>
    <t>$F$6&lt;=$H$6</t>
  </si>
  <si>
    <t>$K$4&gt;=0</t>
  </si>
  <si>
    <t>$L$4&gt;=0</t>
  </si>
  <si>
    <t>X4</t>
  </si>
  <si>
    <t>X5</t>
  </si>
  <si>
    <t>≥</t>
  </si>
  <si>
    <t>Worksheet: [OR LAB.xlsx]EX.3 P1</t>
  </si>
  <si>
    <t>Report Created: 21-06-2026 02:46:18 PM</t>
  </si>
  <si>
    <t>Solution Time: 0.172 Seconds.</t>
  </si>
  <si>
    <t>Objective Cell (Min)</t>
  </si>
  <si>
    <t>$E$6&gt;=$G$6</t>
  </si>
  <si>
    <t>$E$7</t>
  </si>
  <si>
    <t>$E$7&gt;=$G$7</t>
  </si>
  <si>
    <t>X6</t>
  </si>
  <si>
    <t>X7</t>
  </si>
  <si>
    <t>Worksheet: [OR LAB.xlsx]EX.3 P2</t>
  </si>
  <si>
    <t>Report Created: 21-06-2026 03:02:52 PM</t>
  </si>
  <si>
    <t>Solution Time: 0.328 Seconds.</t>
  </si>
  <si>
    <t>Iterations: 15 Subproblems: 0</t>
  </si>
  <si>
    <t>$J$3</t>
  </si>
  <si>
    <t>$N$4</t>
  </si>
  <si>
    <t>≥ X1</t>
  </si>
  <si>
    <t>$O$4</t>
  </si>
  <si>
    <t>≥ X2</t>
  </si>
  <si>
    <t>$P$4</t>
  </si>
  <si>
    <t>≥ X3</t>
  </si>
  <si>
    <t>$Q$4</t>
  </si>
  <si>
    <t>≥ X4</t>
  </si>
  <si>
    <t>$R$4</t>
  </si>
  <si>
    <t>≥ X5</t>
  </si>
  <si>
    <t>$S$4</t>
  </si>
  <si>
    <t>≥ X6</t>
  </si>
  <si>
    <t>$T$4</t>
  </si>
  <si>
    <t>≥ X7</t>
  </si>
  <si>
    <t>$J$12</t>
  </si>
  <si>
    <t>$J$12&lt;=$L$12</t>
  </si>
  <si>
    <t>$J$13</t>
  </si>
  <si>
    <t>$J$13&lt;=$L$13</t>
  </si>
  <si>
    <t>$J$14</t>
  </si>
  <si>
    <t>$J$14&lt;=$L$14</t>
  </si>
  <si>
    <t>$J$15</t>
  </si>
  <si>
    <t>$J$15&lt;=$L$15</t>
  </si>
  <si>
    <t>$J$16</t>
  </si>
  <si>
    <t>$J$16&lt;=$L$16</t>
  </si>
  <si>
    <t>$J$17</t>
  </si>
  <si>
    <t>$J$17&lt;=$L$17</t>
  </si>
  <si>
    <t>$J$18</t>
  </si>
  <si>
    <t>$J$18&lt;=$L$18</t>
  </si>
  <si>
    <t>$J$4&gt;=$L$4</t>
  </si>
  <si>
    <t>$J$5</t>
  </si>
  <si>
    <t>$J$5&gt;=$L$5</t>
  </si>
  <si>
    <t>$J$6</t>
  </si>
  <si>
    <t>$J$6&gt;=$L$6</t>
  </si>
  <si>
    <t>$J$7</t>
  </si>
  <si>
    <t>$J$7&gt;=$L$7</t>
  </si>
  <si>
    <t>$J$8</t>
  </si>
  <si>
    <t>$J$8&gt;=$L$8</t>
  </si>
  <si>
    <t>$J$9</t>
  </si>
  <si>
    <t>$J$9&gt;=$L$9</t>
  </si>
  <si>
    <t>$J$10</t>
  </si>
  <si>
    <t>$J$10&gt;=$L$10</t>
  </si>
  <si>
    <t>$N$4&gt;=0</t>
  </si>
  <si>
    <t>$O$4&gt;=0</t>
  </si>
  <si>
    <t>$P$4&gt;=0</t>
  </si>
  <si>
    <t>$Q$4&gt;=0</t>
  </si>
  <si>
    <t>$R$4&gt;=0</t>
  </si>
  <si>
    <t>$S$4&gt;=0</t>
  </si>
  <si>
    <t>$T$4&gt;=0</t>
  </si>
  <si>
    <t>Department</t>
  </si>
  <si>
    <t xml:space="preserve">OBJECTIVE </t>
  </si>
  <si>
    <t>Manager</t>
  </si>
  <si>
    <t>AI Development</t>
  </si>
  <si>
    <t>Market Expansion</t>
  </si>
  <si>
    <t>Infrastrucuture Upgrade</t>
  </si>
  <si>
    <t>Cybersecurity</t>
  </si>
  <si>
    <t>=</t>
  </si>
  <si>
    <t>Anderson</t>
  </si>
  <si>
    <t>Blake</t>
  </si>
  <si>
    <t>Carter</t>
  </si>
  <si>
    <t>Dawson</t>
  </si>
  <si>
    <t>Worksheet: [OR LAB.xlsx]Sheet15</t>
  </si>
  <si>
    <t>Anderson AI Development</t>
  </si>
  <si>
    <t>Anderson Market Expansion</t>
  </si>
  <si>
    <t>Anderson Infrastrucuture Upgrade</t>
  </si>
  <si>
    <t>Anderson Cybersecurity</t>
  </si>
  <si>
    <t>Blake AI Development</t>
  </si>
  <si>
    <t>Blake Market Expansion</t>
  </si>
  <si>
    <t>Blake Infrastrucuture Upgrade</t>
  </si>
  <si>
    <t>Blake Cybersecurity</t>
  </si>
  <si>
    <t>Carter AI Development</t>
  </si>
  <si>
    <t>Carter Market Expansion</t>
  </si>
  <si>
    <t>Carter Infrastrucuture Upgrade</t>
  </si>
  <si>
    <t>Carter Cybersecurity</t>
  </si>
  <si>
    <t>Dawson AI Development</t>
  </si>
  <si>
    <t>Dawson Market Expansion</t>
  </si>
  <si>
    <t>Dawson Infrastrucuture Upgrade</t>
  </si>
  <si>
    <t>Dawson Cybersecurity</t>
  </si>
  <si>
    <t>Nurse</t>
  </si>
  <si>
    <t>Urology</t>
  </si>
  <si>
    <t>Cardiology</t>
  </si>
  <si>
    <t>Orthopaedics</t>
  </si>
  <si>
    <t>Obstetrics</t>
  </si>
  <si>
    <t>Hawkins</t>
  </si>
  <si>
    <t>Condriac</t>
  </si>
  <si>
    <t>Bardot</t>
  </si>
  <si>
    <t>Hoolihan</t>
  </si>
  <si>
    <t>Report Created: 21-06-2026 05:22:36 PM</t>
  </si>
  <si>
    <t>Solution Time: 0.063 Seconds.</t>
  </si>
  <si>
    <t>Iterations: 11 Subproblems: 0</t>
  </si>
  <si>
    <t>$K$19</t>
  </si>
  <si>
    <t>$E$27</t>
  </si>
  <si>
    <t>$F$27</t>
  </si>
  <si>
    <t>$G$27</t>
  </si>
  <si>
    <t>$H$27</t>
  </si>
  <si>
    <t>$E$28</t>
  </si>
  <si>
    <t>$F$28</t>
  </si>
  <si>
    <t>$G$28</t>
  </si>
  <si>
    <t>$H$28</t>
  </si>
  <si>
    <t>$E$29</t>
  </si>
  <si>
    <t>$F$29</t>
  </si>
  <si>
    <t>$G$29</t>
  </si>
  <si>
    <t>$H$29</t>
  </si>
  <si>
    <t>$E$30</t>
  </si>
  <si>
    <t>$F$30</t>
  </si>
  <si>
    <t>$G$30</t>
  </si>
  <si>
    <t>$H$30</t>
  </si>
  <si>
    <t>$E$31</t>
  </si>
  <si>
    <t>$E$31=$E$33</t>
  </si>
  <si>
    <t>$F$31</t>
  </si>
  <si>
    <t>$F$31=$F$33</t>
  </si>
  <si>
    <t>$G$31</t>
  </si>
  <si>
    <t>$G$31=$G$33</t>
  </si>
  <si>
    <t>$H$31</t>
  </si>
  <si>
    <t>$H$31=$H$33</t>
  </si>
  <si>
    <t>$I$27</t>
  </si>
  <si>
    <t>Anderson Z</t>
  </si>
  <si>
    <t>$I$27=$K$27</t>
  </si>
  <si>
    <t>$I$28</t>
  </si>
  <si>
    <t>Blake Z</t>
  </si>
  <si>
    <t>$I$28=$K$28</t>
  </si>
  <si>
    <t>$I$29</t>
  </si>
  <si>
    <t>Carter Z</t>
  </si>
  <si>
    <t>$I$29=$K$29</t>
  </si>
  <si>
    <t>$I$30</t>
  </si>
  <si>
    <t>Dawson Z</t>
  </si>
  <si>
    <t>$I$30=$K$30</t>
  </si>
  <si>
    <t>Report Created: 21-06-2026 05:22:38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</si>
</sst>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 Light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5" xfId="0" applyFill="1" applyBorder="1" applyAlignment="1"/>
    <xf numFmtId="0" fontId="2" fillId="0" borderId="4" xfId="0" applyFont="1" applyFill="1" applyBorder="1" applyAlignment="1">
      <alignment horizontal="center"/>
    </xf>
    <xf numFmtId="0" fontId="0" fillId="0" borderId="6" xfId="0" applyFill="1" applyBorder="1" applyAlignment="1"/>
    <xf numFmtId="0" fontId="0" fillId="0" borderId="5" xfId="0" applyNumberFormat="1" applyFill="1" applyBorder="1" applyAlignment="1"/>
    <xf numFmtId="0" fontId="0" fillId="0" borderId="6" xfId="0" applyNumberFormat="1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6" xfId="0" applyBorder="1"/>
    <xf numFmtId="0" fontId="0" fillId="5" borderId="0" xfId="0" applyFill="1" applyBorder="1"/>
    <xf numFmtId="0" fontId="1" fillId="5" borderId="0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/>
    <xf numFmtId="0" fontId="4" fillId="0" borderId="0" xfId="0" applyFont="1"/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5" xfId="0" quotePrefix="1" applyFill="1" applyBorder="1" applyAlignment="1"/>
    <xf numFmtId="0" fontId="4" fillId="9" borderId="17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4" fillId="9" borderId="1" xfId="0" applyFont="1" applyFill="1" applyBorder="1"/>
    <xf numFmtId="0" fontId="4" fillId="10" borderId="1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5B98-1E76-4353-8344-B5071404EC16}">
  <dimension ref="A1:G31"/>
  <sheetViews>
    <sheetView showGridLines="0" workbookViewId="0">
      <selection activeCell="B15" sqref="B15:E16"/>
    </sheetView>
  </sheetViews>
  <sheetFormatPr defaultRowHeight="14.4" x14ac:dyDescent="0.3"/>
  <cols>
    <col min="1" max="1" width="2.33203125" customWidth="1"/>
    <col min="2" max="2" width="5" bestFit="1" customWidth="1"/>
    <col min="3" max="3" width="20.77734375" bestFit="1" customWidth="1"/>
    <col min="4" max="4" width="12.6640625" bestFit="1" customWidth="1"/>
    <col min="5" max="5" width="11.21875" bestFit="1" customWidth="1"/>
    <col min="6" max="6" width="10.44140625" bestFit="1" customWidth="1"/>
    <col min="7" max="7" width="5.33203125" bestFit="1" customWidth="1"/>
  </cols>
  <sheetData>
    <row r="1" spans="1:5" x14ac:dyDescent="0.3">
      <c r="A1" s="2" t="s">
        <v>1</v>
      </c>
    </row>
    <row r="2" spans="1:5" x14ac:dyDescent="0.3">
      <c r="A2" s="2" t="s">
        <v>59</v>
      </c>
    </row>
    <row r="3" spans="1:5" x14ac:dyDescent="0.3">
      <c r="A3" s="2" t="s">
        <v>60</v>
      </c>
    </row>
    <row r="4" spans="1:5" x14ac:dyDescent="0.3">
      <c r="A4" s="2" t="s">
        <v>2</v>
      </c>
    </row>
    <row r="5" spans="1:5" x14ac:dyDescent="0.3">
      <c r="A5" s="2" t="s">
        <v>3</v>
      </c>
    </row>
    <row r="6" spans="1:5" x14ac:dyDescent="0.3">
      <c r="A6" s="2"/>
      <c r="B6" t="s">
        <v>4</v>
      </c>
    </row>
    <row r="7" spans="1:5" x14ac:dyDescent="0.3">
      <c r="A7" s="2"/>
      <c r="B7" t="s">
        <v>61</v>
      </c>
    </row>
    <row r="8" spans="1:5" x14ac:dyDescent="0.3">
      <c r="A8" s="2"/>
      <c r="B8" t="s">
        <v>44</v>
      </c>
    </row>
    <row r="9" spans="1:5" x14ac:dyDescent="0.3">
      <c r="A9" s="2" t="s">
        <v>5</v>
      </c>
    </row>
    <row r="10" spans="1:5" x14ac:dyDescent="0.3">
      <c r="B10" t="s">
        <v>6</v>
      </c>
    </row>
    <row r="11" spans="1:5" x14ac:dyDescent="0.3">
      <c r="B11" t="s">
        <v>7</v>
      </c>
    </row>
    <row r="14" spans="1:5" ht="15" thickBot="1" x14ac:dyDescent="0.35">
      <c r="A14" t="s">
        <v>8</v>
      </c>
    </row>
    <row r="15" spans="1:5" ht="15" thickBot="1" x14ac:dyDescent="0.35">
      <c r="B15" s="6" t="s">
        <v>9</v>
      </c>
      <c r="C15" s="6" t="s">
        <v>10</v>
      </c>
      <c r="D15" s="6" t="s">
        <v>11</v>
      </c>
      <c r="E15" s="6" t="s">
        <v>12</v>
      </c>
    </row>
    <row r="16" spans="1:5" ht="15" thickBot="1" x14ac:dyDescent="0.35">
      <c r="B16" s="5" t="s">
        <v>46</v>
      </c>
      <c r="C16" s="5" t="s">
        <v>47</v>
      </c>
      <c r="D16" s="8">
        <v>0</v>
      </c>
      <c r="E16" s="8">
        <v>8000</v>
      </c>
    </row>
    <row r="19" spans="1:7" ht="15" thickBot="1" x14ac:dyDescent="0.35">
      <c r="A19" t="s">
        <v>13</v>
      </c>
    </row>
    <row r="20" spans="1:7" ht="15" thickBot="1" x14ac:dyDescent="0.35">
      <c r="B20" s="6" t="s">
        <v>9</v>
      </c>
      <c r="C20" s="6" t="s">
        <v>10</v>
      </c>
      <c r="D20" s="6" t="s">
        <v>11</v>
      </c>
      <c r="E20" s="6" t="s">
        <v>12</v>
      </c>
      <c r="F20" s="6" t="s">
        <v>14</v>
      </c>
    </row>
    <row r="21" spans="1:7" x14ac:dyDescent="0.3">
      <c r="B21" s="7" t="s">
        <v>62</v>
      </c>
      <c r="C21" s="7" t="s">
        <v>63</v>
      </c>
      <c r="D21" s="9">
        <v>0</v>
      </c>
      <c r="E21" s="9">
        <v>400</v>
      </c>
      <c r="F21" s="7" t="s">
        <v>19</v>
      </c>
    </row>
    <row r="22" spans="1:7" ht="15" thickBot="1" x14ac:dyDescent="0.35">
      <c r="B22" s="5" t="s">
        <v>64</v>
      </c>
      <c r="C22" s="5" t="s">
        <v>65</v>
      </c>
      <c r="D22" s="8">
        <v>0</v>
      </c>
      <c r="E22" s="8">
        <v>0</v>
      </c>
      <c r="F22" s="5" t="s">
        <v>19</v>
      </c>
    </row>
    <row r="25" spans="1:7" ht="15" thickBot="1" x14ac:dyDescent="0.35">
      <c r="A25" t="s">
        <v>0</v>
      </c>
    </row>
    <row r="26" spans="1:7" ht="15" thickBot="1" x14ac:dyDescent="0.35">
      <c r="B26" s="6" t="s">
        <v>9</v>
      </c>
      <c r="C26" s="6" t="s">
        <v>10</v>
      </c>
      <c r="D26" s="6" t="s">
        <v>15</v>
      </c>
      <c r="E26" s="6" t="s">
        <v>16</v>
      </c>
      <c r="F26" s="6" t="s">
        <v>17</v>
      </c>
      <c r="G26" s="6" t="s">
        <v>18</v>
      </c>
    </row>
    <row r="27" spans="1:7" x14ac:dyDescent="0.3">
      <c r="B27" s="7" t="s">
        <v>48</v>
      </c>
      <c r="C27" s="7" t="s">
        <v>49</v>
      </c>
      <c r="D27" s="9">
        <v>4000</v>
      </c>
      <c r="E27" s="7" t="s">
        <v>50</v>
      </c>
      <c r="F27" s="7" t="s">
        <v>20</v>
      </c>
      <c r="G27" s="7">
        <v>0</v>
      </c>
    </row>
    <row r="28" spans="1:7" x14ac:dyDescent="0.3">
      <c r="B28" s="7" t="s">
        <v>51</v>
      </c>
      <c r="C28" s="7" t="s">
        <v>52</v>
      </c>
      <c r="D28" s="9">
        <v>1200</v>
      </c>
      <c r="E28" s="7" t="s">
        <v>53</v>
      </c>
      <c r="F28" s="7" t="s">
        <v>54</v>
      </c>
      <c r="G28" s="7">
        <v>800</v>
      </c>
    </row>
    <row r="29" spans="1:7" x14ac:dyDescent="0.3">
      <c r="B29" s="7" t="s">
        <v>55</v>
      </c>
      <c r="C29" s="7" t="s">
        <v>56</v>
      </c>
      <c r="D29" s="9">
        <v>800</v>
      </c>
      <c r="E29" s="7" t="s">
        <v>57</v>
      </c>
      <c r="F29" s="7" t="s">
        <v>54</v>
      </c>
      <c r="G29" s="7">
        <v>600</v>
      </c>
    </row>
    <row r="30" spans="1:7" x14ac:dyDescent="0.3">
      <c r="B30" s="7" t="s">
        <v>62</v>
      </c>
      <c r="C30" s="7" t="s">
        <v>63</v>
      </c>
      <c r="D30" s="9">
        <v>400</v>
      </c>
      <c r="E30" s="7" t="s">
        <v>66</v>
      </c>
      <c r="F30" s="7" t="s">
        <v>54</v>
      </c>
      <c r="G30" s="9">
        <v>400</v>
      </c>
    </row>
    <row r="31" spans="1:7" ht="15" thickBot="1" x14ac:dyDescent="0.35">
      <c r="B31" s="5" t="s">
        <v>64</v>
      </c>
      <c r="C31" s="5" t="s">
        <v>65</v>
      </c>
      <c r="D31" s="8">
        <v>0</v>
      </c>
      <c r="E31" s="5" t="s">
        <v>67</v>
      </c>
      <c r="F31" s="5" t="s">
        <v>20</v>
      </c>
      <c r="G31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2F7C-31F8-47E0-A764-A2CF6A323E5A}">
  <sheetPr>
    <pageSetUpPr autoPageBreaks="0"/>
  </sheetPr>
  <dimension ref="B1:X8"/>
  <sheetViews>
    <sheetView zoomScale="96" zoomScaleNormal="100" zoomScaleSheetLayoutView="109" workbookViewId="0">
      <selection activeCell="E5" sqref="E5"/>
    </sheetView>
  </sheetViews>
  <sheetFormatPr defaultRowHeight="14.4" x14ac:dyDescent="0.3"/>
  <cols>
    <col min="2" max="2" width="19.5546875" bestFit="1" customWidth="1"/>
    <col min="16" max="16" width="19.44140625" style="3" bestFit="1" customWidth="1"/>
    <col min="17" max="21" width="8.88671875" style="3"/>
    <col min="23" max="24" width="8.88671875" style="3"/>
  </cols>
  <sheetData>
    <row r="1" spans="2:10" x14ac:dyDescent="0.3">
      <c r="B1" s="3"/>
      <c r="C1" s="3"/>
      <c r="D1" s="3"/>
      <c r="E1" s="3"/>
      <c r="F1" s="3"/>
      <c r="G1" s="3"/>
      <c r="I1" s="3"/>
      <c r="J1" s="3"/>
    </row>
    <row r="2" spans="2:10" x14ac:dyDescent="0.3">
      <c r="B2" s="12" t="s">
        <v>35</v>
      </c>
      <c r="C2" s="12" t="s">
        <v>37</v>
      </c>
      <c r="D2" s="12" t="s">
        <v>38</v>
      </c>
      <c r="E2" s="12" t="s">
        <v>39</v>
      </c>
      <c r="F2" s="3"/>
      <c r="G2" s="3"/>
      <c r="I2" s="14" t="s">
        <v>43</v>
      </c>
      <c r="J2" s="14"/>
    </row>
    <row r="3" spans="2:10" x14ac:dyDescent="0.3">
      <c r="B3" s="13" t="s">
        <v>36</v>
      </c>
      <c r="C3" s="4">
        <v>20</v>
      </c>
      <c r="D3" s="4">
        <v>30</v>
      </c>
      <c r="E3" s="4">
        <f>C3*$I$4+D3*$J$4</f>
        <v>8000</v>
      </c>
      <c r="F3" s="3"/>
      <c r="G3" s="3"/>
      <c r="I3" s="13" t="s">
        <v>37</v>
      </c>
      <c r="J3" s="13" t="s">
        <v>38</v>
      </c>
    </row>
    <row r="4" spans="2:10" x14ac:dyDescent="0.3">
      <c r="B4" s="4" t="s">
        <v>40</v>
      </c>
      <c r="C4" s="4">
        <v>10</v>
      </c>
      <c r="D4" s="4">
        <v>40</v>
      </c>
      <c r="E4" s="4">
        <f>C4*$I$4+D4*$J$4</f>
        <v>4000</v>
      </c>
      <c r="F4" s="15" t="s">
        <v>58</v>
      </c>
      <c r="G4" s="4">
        <v>4000</v>
      </c>
      <c r="I4" s="4">
        <v>400</v>
      </c>
      <c r="J4" s="4">
        <v>0</v>
      </c>
    </row>
    <row r="5" spans="2:10" x14ac:dyDescent="0.3">
      <c r="B5" s="4" t="s">
        <v>41</v>
      </c>
      <c r="C5" s="4">
        <v>3</v>
      </c>
      <c r="D5" s="4">
        <v>2</v>
      </c>
      <c r="E5" s="4">
        <f>C5*$I$4+D5*$J$4</f>
        <v>1200</v>
      </c>
      <c r="F5" s="15" t="s">
        <v>58</v>
      </c>
      <c r="G5" s="4">
        <v>2000</v>
      </c>
      <c r="I5" s="3"/>
      <c r="J5" s="3"/>
    </row>
    <row r="6" spans="2:10" x14ac:dyDescent="0.3">
      <c r="B6" s="4" t="s">
        <v>42</v>
      </c>
      <c r="C6" s="4">
        <v>2</v>
      </c>
      <c r="D6" s="4">
        <v>3</v>
      </c>
      <c r="E6" s="4">
        <f>C6*$I$4+D6*$J$4</f>
        <v>800</v>
      </c>
      <c r="F6" s="15" t="s">
        <v>58</v>
      </c>
      <c r="G6" s="4">
        <v>1400</v>
      </c>
      <c r="I6" s="3"/>
      <c r="J6" s="3"/>
    </row>
    <row r="7" spans="2:10" x14ac:dyDescent="0.3">
      <c r="B7" s="3"/>
      <c r="C7" s="3"/>
      <c r="D7" s="3"/>
      <c r="E7" s="3"/>
      <c r="F7" s="3"/>
      <c r="G7" s="3"/>
      <c r="I7" s="3"/>
      <c r="J7" s="3"/>
    </row>
    <row r="8" spans="2:10" x14ac:dyDescent="0.3">
      <c r="B8" s="3"/>
      <c r="C8" s="3"/>
      <c r="D8" s="3"/>
      <c r="E8" s="3"/>
      <c r="F8" s="3"/>
      <c r="G8" s="3"/>
      <c r="I8" s="3"/>
      <c r="J8" s="3"/>
    </row>
  </sheetData>
  <mergeCells count="1">
    <mergeCell ref="I2:J2"/>
  </mergeCells>
  <pageMargins left="0.7" right="0.7" top="0.75" bottom="0.75" header="0.3" footer="0.3"/>
  <pageSetup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FC90-9BEE-454E-B668-6D1B094BF73B}">
  <dimension ref="A1:G33"/>
  <sheetViews>
    <sheetView showGridLines="0" workbookViewId="0"/>
  </sheetViews>
  <sheetFormatPr defaultRowHeight="14.4" x14ac:dyDescent="0.3"/>
  <cols>
    <col min="1" max="1" width="2.33203125" customWidth="1"/>
    <col min="2" max="2" width="5" bestFit="1" customWidth="1"/>
    <col min="3" max="3" width="20.77734375" bestFit="1" customWidth="1"/>
    <col min="4" max="4" width="12.6640625" bestFit="1" customWidth="1"/>
    <col min="5" max="5" width="11.109375" bestFit="1" customWidth="1"/>
    <col min="6" max="6" width="10.44140625" bestFit="1" customWidth="1"/>
    <col min="7" max="7" width="5.33203125" bestFit="1" customWidth="1"/>
  </cols>
  <sheetData>
    <row r="1" spans="1:5" x14ac:dyDescent="0.3">
      <c r="A1" s="2" t="s">
        <v>1</v>
      </c>
    </row>
    <row r="2" spans="1:5" x14ac:dyDescent="0.3">
      <c r="A2" s="2" t="s">
        <v>72</v>
      </c>
    </row>
    <row r="3" spans="1:5" x14ac:dyDescent="0.3">
      <c r="A3" s="2" t="s">
        <v>73</v>
      </c>
    </row>
    <row r="4" spans="1:5" x14ac:dyDescent="0.3">
      <c r="A4" s="2" t="s">
        <v>2</v>
      </c>
    </row>
    <row r="5" spans="1:5" x14ac:dyDescent="0.3">
      <c r="A5" s="2" t="s">
        <v>3</v>
      </c>
    </row>
    <row r="6" spans="1:5" x14ac:dyDescent="0.3">
      <c r="A6" s="2"/>
      <c r="B6" t="s">
        <v>4</v>
      </c>
    </row>
    <row r="7" spans="1:5" x14ac:dyDescent="0.3">
      <c r="A7" s="2"/>
      <c r="B7" t="s">
        <v>74</v>
      </c>
    </row>
    <row r="8" spans="1:5" x14ac:dyDescent="0.3">
      <c r="A8" s="2"/>
      <c r="B8" t="s">
        <v>75</v>
      </c>
    </row>
    <row r="9" spans="1:5" x14ac:dyDescent="0.3">
      <c r="A9" s="2" t="s">
        <v>5</v>
      </c>
    </row>
    <row r="10" spans="1:5" x14ac:dyDescent="0.3">
      <c r="B10" t="s">
        <v>6</v>
      </c>
    </row>
    <row r="11" spans="1:5" x14ac:dyDescent="0.3">
      <c r="B11" t="s">
        <v>7</v>
      </c>
    </row>
    <row r="14" spans="1:5" ht="15" thickBot="1" x14ac:dyDescent="0.35">
      <c r="A14" t="s">
        <v>8</v>
      </c>
    </row>
    <row r="15" spans="1:5" ht="15" thickBot="1" x14ac:dyDescent="0.35">
      <c r="B15" s="6" t="s">
        <v>9</v>
      </c>
      <c r="C15" s="6" t="s">
        <v>10</v>
      </c>
      <c r="D15" s="6" t="s">
        <v>11</v>
      </c>
      <c r="E15" s="6" t="s">
        <v>12</v>
      </c>
    </row>
    <row r="16" spans="1:5" ht="15" thickBot="1" x14ac:dyDescent="0.35">
      <c r="B16" s="5" t="s">
        <v>76</v>
      </c>
      <c r="C16" s="5" t="s">
        <v>47</v>
      </c>
      <c r="D16" s="8">
        <v>0</v>
      </c>
      <c r="E16" s="8">
        <v>3600</v>
      </c>
    </row>
    <row r="19" spans="1:7" ht="15" thickBot="1" x14ac:dyDescent="0.35">
      <c r="A19" t="s">
        <v>13</v>
      </c>
    </row>
    <row r="20" spans="1:7" ht="15" thickBot="1" x14ac:dyDescent="0.35">
      <c r="B20" s="6" t="s">
        <v>9</v>
      </c>
      <c r="C20" s="6" t="s">
        <v>10</v>
      </c>
      <c r="D20" s="6" t="s">
        <v>11</v>
      </c>
      <c r="E20" s="6" t="s">
        <v>12</v>
      </c>
      <c r="F20" s="6" t="s">
        <v>14</v>
      </c>
    </row>
    <row r="21" spans="1:7" x14ac:dyDescent="0.3">
      <c r="B21" s="7" t="s">
        <v>64</v>
      </c>
      <c r="C21" s="7" t="s">
        <v>63</v>
      </c>
      <c r="D21" s="9">
        <v>0</v>
      </c>
      <c r="E21" s="9">
        <v>0</v>
      </c>
      <c r="F21" s="7" t="s">
        <v>19</v>
      </c>
    </row>
    <row r="22" spans="1:7" x14ac:dyDescent="0.3">
      <c r="B22" s="7" t="s">
        <v>77</v>
      </c>
      <c r="C22" s="7" t="s">
        <v>65</v>
      </c>
      <c r="D22" s="9">
        <v>0</v>
      </c>
      <c r="E22" s="9">
        <v>900</v>
      </c>
      <c r="F22" s="7" t="s">
        <v>19</v>
      </c>
    </row>
    <row r="23" spans="1:7" ht="15" thickBot="1" x14ac:dyDescent="0.35">
      <c r="B23" s="5" t="s">
        <v>78</v>
      </c>
      <c r="C23" s="5" t="s">
        <v>79</v>
      </c>
      <c r="D23" s="8">
        <v>0</v>
      </c>
      <c r="E23" s="8">
        <v>0</v>
      </c>
      <c r="F23" s="5" t="s">
        <v>19</v>
      </c>
    </row>
    <row r="26" spans="1:7" ht="15" thickBot="1" x14ac:dyDescent="0.35">
      <c r="A26" t="s">
        <v>0</v>
      </c>
    </row>
    <row r="27" spans="1:7" ht="15" thickBot="1" x14ac:dyDescent="0.35">
      <c r="B27" s="6" t="s">
        <v>9</v>
      </c>
      <c r="C27" s="6" t="s">
        <v>10</v>
      </c>
      <c r="D27" s="6" t="s">
        <v>15</v>
      </c>
      <c r="E27" s="6" t="s">
        <v>16</v>
      </c>
      <c r="F27" s="6" t="s">
        <v>17</v>
      </c>
      <c r="G27" s="6" t="s">
        <v>18</v>
      </c>
    </row>
    <row r="28" spans="1:7" x14ac:dyDescent="0.3">
      <c r="B28" s="7" t="s">
        <v>80</v>
      </c>
      <c r="C28" s="7" t="s">
        <v>81</v>
      </c>
      <c r="D28" s="9">
        <v>3600</v>
      </c>
      <c r="E28" s="7" t="s">
        <v>82</v>
      </c>
      <c r="F28" s="7" t="s">
        <v>20</v>
      </c>
      <c r="G28" s="7">
        <v>0</v>
      </c>
    </row>
    <row r="29" spans="1:7" x14ac:dyDescent="0.3">
      <c r="B29" s="7" t="s">
        <v>83</v>
      </c>
      <c r="C29" s="7" t="s">
        <v>84</v>
      </c>
      <c r="D29" s="9">
        <v>900</v>
      </c>
      <c r="E29" s="7" t="s">
        <v>85</v>
      </c>
      <c r="F29" s="7" t="s">
        <v>54</v>
      </c>
      <c r="G29" s="7">
        <v>1500</v>
      </c>
    </row>
    <row r="30" spans="1:7" x14ac:dyDescent="0.3">
      <c r="B30" s="7" t="s">
        <v>86</v>
      </c>
      <c r="C30" s="7" t="s">
        <v>87</v>
      </c>
      <c r="D30" s="9">
        <v>2700</v>
      </c>
      <c r="E30" s="7" t="s">
        <v>88</v>
      </c>
      <c r="F30" s="7" t="s">
        <v>54</v>
      </c>
      <c r="G30" s="7">
        <v>2100</v>
      </c>
    </row>
    <row r="31" spans="1:7" x14ac:dyDescent="0.3">
      <c r="B31" s="7" t="s">
        <v>64</v>
      </c>
      <c r="C31" s="7" t="s">
        <v>63</v>
      </c>
      <c r="D31" s="9">
        <v>0</v>
      </c>
      <c r="E31" s="7" t="s">
        <v>67</v>
      </c>
      <c r="F31" s="7" t="s">
        <v>20</v>
      </c>
      <c r="G31" s="9">
        <v>0</v>
      </c>
    </row>
    <row r="32" spans="1:7" x14ac:dyDescent="0.3">
      <c r="B32" s="7" t="s">
        <v>77</v>
      </c>
      <c r="C32" s="7" t="s">
        <v>65</v>
      </c>
      <c r="D32" s="9">
        <v>900</v>
      </c>
      <c r="E32" s="7" t="s">
        <v>89</v>
      </c>
      <c r="F32" s="7" t="s">
        <v>54</v>
      </c>
      <c r="G32" s="9">
        <v>900</v>
      </c>
    </row>
    <row r="33" spans="2:7" ht="15" thickBot="1" x14ac:dyDescent="0.35">
      <c r="B33" s="5" t="s">
        <v>78</v>
      </c>
      <c r="C33" s="5" t="s">
        <v>79</v>
      </c>
      <c r="D33" s="8">
        <v>0</v>
      </c>
      <c r="E33" s="5" t="s">
        <v>90</v>
      </c>
      <c r="F33" s="5" t="s">
        <v>20</v>
      </c>
      <c r="G33" s="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FCBC-E5D1-4D83-AF38-257DA7DBE59A}">
  <dimension ref="A1:M9"/>
  <sheetViews>
    <sheetView workbookViewId="0">
      <selection activeCell="F5" sqref="F5"/>
    </sheetView>
  </sheetViews>
  <sheetFormatPr defaultRowHeight="14.4" x14ac:dyDescent="0.3"/>
  <cols>
    <col min="2" max="2" width="19.5546875" bestFit="1" customWidth="1"/>
    <col min="5" max="5" width="8.88671875" customWidth="1"/>
    <col min="6" max="6" width="10.109375" customWidth="1"/>
    <col min="12" max="12" width="8.88671875" style="3"/>
  </cols>
  <sheetData>
    <row r="1" spans="1:13" x14ac:dyDescent="0.3">
      <c r="A1" s="17"/>
      <c r="B1" s="18"/>
      <c r="C1" s="18"/>
      <c r="D1" s="18"/>
      <c r="E1" s="18"/>
      <c r="F1" s="18"/>
      <c r="G1" s="18"/>
      <c r="H1" s="18"/>
      <c r="I1" s="19"/>
      <c r="J1" s="18"/>
      <c r="K1" s="18"/>
      <c r="L1" s="18"/>
      <c r="M1" s="20"/>
    </row>
    <row r="2" spans="1:13" x14ac:dyDescent="0.3">
      <c r="A2" s="21"/>
      <c r="B2" s="12" t="s">
        <v>35</v>
      </c>
      <c r="C2" s="12" t="s">
        <v>37</v>
      </c>
      <c r="D2" s="12" t="s">
        <v>38</v>
      </c>
      <c r="E2" s="12" t="s">
        <v>68</v>
      </c>
      <c r="F2" s="12" t="s">
        <v>39</v>
      </c>
      <c r="G2" s="22"/>
      <c r="H2" s="22"/>
      <c r="I2" s="23"/>
      <c r="J2" s="14" t="s">
        <v>43</v>
      </c>
      <c r="K2" s="14"/>
      <c r="L2" s="14"/>
      <c r="M2" s="24"/>
    </row>
    <row r="3" spans="1:13" x14ac:dyDescent="0.3">
      <c r="A3" s="21"/>
      <c r="B3" s="13" t="s">
        <v>36</v>
      </c>
      <c r="C3" s="4">
        <v>2</v>
      </c>
      <c r="D3" s="4">
        <v>4</v>
      </c>
      <c r="E3" s="4">
        <v>3</v>
      </c>
      <c r="F3" s="4">
        <f>C3*$J$4+D3*$K$4+E3*$L$4</f>
        <v>3600</v>
      </c>
      <c r="G3" s="22"/>
      <c r="H3" s="22"/>
      <c r="I3" s="23"/>
      <c r="J3" s="13" t="s">
        <v>37</v>
      </c>
      <c r="K3" s="13" t="s">
        <v>38</v>
      </c>
      <c r="L3" s="13" t="s">
        <v>68</v>
      </c>
      <c r="M3" s="24"/>
    </row>
    <row r="4" spans="1:13" x14ac:dyDescent="0.3">
      <c r="A4" s="21"/>
      <c r="B4" s="4" t="s">
        <v>69</v>
      </c>
      <c r="C4" s="4">
        <v>3</v>
      </c>
      <c r="D4" s="4">
        <v>4</v>
      </c>
      <c r="E4" s="4">
        <v>3</v>
      </c>
      <c r="F4" s="4">
        <f t="shared" ref="F4:F6" si="0">C4*$J$4+D4*$K$4+E4*$L$4</f>
        <v>3600</v>
      </c>
      <c r="G4" s="15" t="s">
        <v>58</v>
      </c>
      <c r="H4" s="4">
        <v>3600</v>
      </c>
      <c r="I4" s="16"/>
      <c r="J4" s="4">
        <v>0</v>
      </c>
      <c r="K4" s="4">
        <v>900</v>
      </c>
      <c r="L4" s="4">
        <v>0</v>
      </c>
      <c r="M4" s="24"/>
    </row>
    <row r="5" spans="1:13" x14ac:dyDescent="0.3">
      <c r="A5" s="21"/>
      <c r="B5" s="4" t="s">
        <v>70</v>
      </c>
      <c r="C5" s="4">
        <v>2</v>
      </c>
      <c r="D5" s="4">
        <v>1</v>
      </c>
      <c r="E5" s="4">
        <v>3</v>
      </c>
      <c r="F5" s="4">
        <f t="shared" si="0"/>
        <v>900</v>
      </c>
      <c r="G5" s="15" t="s">
        <v>58</v>
      </c>
      <c r="H5" s="4">
        <v>2400</v>
      </c>
      <c r="I5" s="23"/>
      <c r="J5" s="22"/>
      <c r="K5" s="22"/>
      <c r="L5" s="22"/>
      <c r="M5" s="24"/>
    </row>
    <row r="6" spans="1:13" x14ac:dyDescent="0.3">
      <c r="A6" s="21"/>
      <c r="B6" s="4" t="s">
        <v>71</v>
      </c>
      <c r="C6" s="4">
        <v>1</v>
      </c>
      <c r="D6" s="4">
        <v>3</v>
      </c>
      <c r="E6" s="4">
        <v>3</v>
      </c>
      <c r="F6" s="4">
        <f t="shared" si="0"/>
        <v>2700</v>
      </c>
      <c r="G6" s="15" t="s">
        <v>58</v>
      </c>
      <c r="H6" s="4">
        <v>4800</v>
      </c>
      <c r="I6" s="23"/>
      <c r="J6" s="22"/>
      <c r="K6" s="22"/>
      <c r="L6" s="22"/>
      <c r="M6" s="24"/>
    </row>
    <row r="7" spans="1:13" x14ac:dyDescent="0.3">
      <c r="A7" s="21"/>
      <c r="B7" s="22"/>
      <c r="C7" s="22"/>
      <c r="D7" s="22"/>
      <c r="E7" s="22"/>
      <c r="F7" s="22"/>
      <c r="G7" s="22"/>
      <c r="H7" s="22"/>
      <c r="I7" s="23"/>
      <c r="J7" s="22"/>
      <c r="K7" s="22"/>
      <c r="L7" s="22"/>
      <c r="M7" s="24"/>
    </row>
    <row r="8" spans="1:13" x14ac:dyDescent="0.3">
      <c r="A8" s="21"/>
      <c r="B8" s="22"/>
      <c r="C8" s="22"/>
      <c r="D8" s="22"/>
      <c r="E8" s="22"/>
      <c r="F8" s="22"/>
      <c r="G8" s="22"/>
      <c r="H8" s="22"/>
      <c r="I8" s="23"/>
      <c r="J8" s="22"/>
      <c r="K8" s="22"/>
      <c r="L8" s="22"/>
      <c r="M8" s="24"/>
    </row>
    <row r="9" spans="1:13" ht="15" thickBot="1" x14ac:dyDescent="0.35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7"/>
      <c r="M9" s="28"/>
    </row>
  </sheetData>
  <mergeCells count="1">
    <mergeCell ref="J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86A6-C2B1-4DE1-B806-6CD488A3ABAE}">
  <sheetPr>
    <tabColor rgb="FFFF0000"/>
  </sheetPr>
  <dimension ref="B1:Q8"/>
  <sheetViews>
    <sheetView workbookViewId="0">
      <selection activeCell="C4" sqref="C4"/>
    </sheetView>
  </sheetViews>
  <sheetFormatPr defaultRowHeight="14.4" x14ac:dyDescent="0.3"/>
  <cols>
    <col min="2" max="2" width="19.5546875" bestFit="1" customWidth="1"/>
    <col min="8" max="8" width="15.77734375" customWidth="1"/>
    <col min="17" max="17" width="8.88671875" style="29"/>
  </cols>
  <sheetData>
    <row r="1" spans="2:17" x14ac:dyDescent="0.3">
      <c r="B1" s="3"/>
      <c r="C1" s="3"/>
      <c r="D1" s="3"/>
      <c r="E1" s="3"/>
      <c r="F1" s="3"/>
      <c r="G1" s="3"/>
      <c r="H1" s="3"/>
      <c r="I1" s="3"/>
      <c r="J1" s="3"/>
      <c r="L1" s="3"/>
      <c r="M1" s="3"/>
    </row>
    <row r="2" spans="2:17" x14ac:dyDescent="0.3">
      <c r="B2" s="12" t="s">
        <v>35</v>
      </c>
      <c r="C2" s="12" t="s">
        <v>37</v>
      </c>
      <c r="D2" s="12" t="s">
        <v>38</v>
      </c>
      <c r="E2" s="12" t="s">
        <v>68</v>
      </c>
      <c r="F2" s="12" t="s">
        <v>91</v>
      </c>
      <c r="G2" s="12" t="s">
        <v>92</v>
      </c>
      <c r="H2" s="12" t="s">
        <v>39</v>
      </c>
      <c r="I2" s="3"/>
      <c r="J2" s="3"/>
      <c r="L2" s="14" t="s">
        <v>43</v>
      </c>
      <c r="M2" s="14"/>
      <c r="N2" s="14"/>
      <c r="O2" s="14"/>
      <c r="P2" s="14"/>
    </row>
    <row r="3" spans="2:17" x14ac:dyDescent="0.3">
      <c r="B3" s="13" t="s">
        <v>36</v>
      </c>
      <c r="C3" s="4">
        <v>0.126</v>
      </c>
      <c r="D3" s="4">
        <v>3.8999999999999999E-4</v>
      </c>
      <c r="E3" s="4">
        <v>8.3999999999999995E-3</v>
      </c>
      <c r="F3" s="4">
        <v>6.2500000000000003E-3</v>
      </c>
      <c r="G3" s="4">
        <v>8.0000000000000002E-3</v>
      </c>
      <c r="H3" s="4">
        <f>C3*$L$4+D3*$M$4+E3*$N$4+F3*$O$4+G3*$P$4</f>
        <v>0</v>
      </c>
      <c r="I3" s="3"/>
      <c r="J3" s="3"/>
      <c r="L3" s="13" t="s">
        <v>37</v>
      </c>
      <c r="M3" s="13" t="s">
        <v>38</v>
      </c>
      <c r="N3" s="13" t="s">
        <v>68</v>
      </c>
      <c r="O3" s="13" t="s">
        <v>91</v>
      </c>
      <c r="P3" s="13" t="s">
        <v>92</v>
      </c>
      <c r="Q3" s="30"/>
    </row>
    <row r="4" spans="2:17" x14ac:dyDescent="0.3">
      <c r="B4" s="4" t="s">
        <v>40</v>
      </c>
      <c r="C4" s="4"/>
      <c r="D4" s="4"/>
      <c r="E4" s="4"/>
      <c r="F4" s="4"/>
      <c r="G4" s="4"/>
      <c r="H4" s="4">
        <f t="shared" ref="H4:H6" si="0">C4*$L$4+D4*$M$4+E4*$N$4+F4*$O$4+G4*$P$4</f>
        <v>0</v>
      </c>
      <c r="I4" s="15" t="s">
        <v>58</v>
      </c>
      <c r="J4" s="4"/>
      <c r="L4" s="4"/>
      <c r="M4" s="4"/>
      <c r="N4" s="4"/>
      <c r="O4" s="4"/>
      <c r="P4" s="4"/>
      <c r="Q4" s="31"/>
    </row>
    <row r="5" spans="2:17" x14ac:dyDescent="0.3">
      <c r="B5" s="4" t="s">
        <v>41</v>
      </c>
      <c r="C5" s="4"/>
      <c r="D5" s="4"/>
      <c r="E5" s="4"/>
      <c r="F5" s="4"/>
      <c r="G5" s="4"/>
      <c r="H5" s="4">
        <f t="shared" si="0"/>
        <v>0</v>
      </c>
      <c r="I5" s="15" t="s">
        <v>58</v>
      </c>
      <c r="J5" s="4"/>
      <c r="L5" s="3"/>
      <c r="M5" s="3"/>
    </row>
    <row r="6" spans="2:17" x14ac:dyDescent="0.3">
      <c r="B6" s="4" t="s">
        <v>42</v>
      </c>
      <c r="C6" s="4"/>
      <c r="D6" s="4"/>
      <c r="E6" s="4"/>
      <c r="F6" s="4"/>
      <c r="G6" s="4"/>
      <c r="H6" s="4">
        <f t="shared" si="0"/>
        <v>0</v>
      </c>
      <c r="I6" s="15" t="s">
        <v>58</v>
      </c>
      <c r="J6" s="4"/>
      <c r="L6" s="3"/>
      <c r="M6" s="3"/>
    </row>
    <row r="7" spans="2:17" x14ac:dyDescent="0.3">
      <c r="B7" s="3"/>
      <c r="C7" s="3"/>
      <c r="D7" s="3"/>
      <c r="E7" s="3"/>
      <c r="F7" s="3"/>
      <c r="G7" s="3"/>
      <c r="H7" s="3"/>
      <c r="I7" s="3"/>
      <c r="J7" s="3"/>
      <c r="L7" s="3"/>
      <c r="M7" s="3"/>
    </row>
    <row r="8" spans="2:17" x14ac:dyDescent="0.3">
      <c r="B8" s="3"/>
      <c r="C8" s="3"/>
      <c r="D8" s="3"/>
      <c r="E8" s="3"/>
      <c r="F8" s="3"/>
      <c r="G8" s="3"/>
      <c r="H8" s="3"/>
      <c r="I8" s="3"/>
      <c r="J8" s="3"/>
      <c r="L8" s="3"/>
      <c r="M8" s="3"/>
    </row>
  </sheetData>
  <mergeCells count="1">
    <mergeCell ref="L2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1B9FF-5B45-40D3-BDDD-33F9C25CCE7E}">
  <dimension ref="A1:G32"/>
  <sheetViews>
    <sheetView showGridLines="0" topLeftCell="A15" workbookViewId="0">
      <selection activeCell="K25" sqref="K25"/>
    </sheetView>
  </sheetViews>
  <sheetFormatPr defaultRowHeight="14.4" x14ac:dyDescent="0.3"/>
  <cols>
    <col min="1" max="1" width="2.33203125" customWidth="1"/>
    <col min="2" max="2" width="5" bestFit="1" customWidth="1"/>
    <col min="3" max="3" width="20.77734375" bestFit="1" customWidth="1"/>
    <col min="4" max="4" width="12.6640625" bestFit="1" customWidth="1"/>
    <col min="5" max="5" width="11.21875" bestFit="1" customWidth="1"/>
    <col min="6" max="6" width="10.44140625" bestFit="1" customWidth="1"/>
    <col min="7" max="7" width="5.33203125" bestFit="1" customWidth="1"/>
  </cols>
  <sheetData>
    <row r="1" spans="1:5" x14ac:dyDescent="0.3">
      <c r="A1" s="2" t="s">
        <v>1</v>
      </c>
    </row>
    <row r="2" spans="1:5" x14ac:dyDescent="0.3">
      <c r="A2" s="2" t="s">
        <v>94</v>
      </c>
    </row>
    <row r="3" spans="1:5" x14ac:dyDescent="0.3">
      <c r="A3" s="2" t="s">
        <v>95</v>
      </c>
    </row>
    <row r="4" spans="1:5" x14ac:dyDescent="0.3">
      <c r="A4" s="2" t="s">
        <v>2</v>
      </c>
    </row>
    <row r="5" spans="1:5" x14ac:dyDescent="0.3">
      <c r="A5" s="2" t="s">
        <v>3</v>
      </c>
    </row>
    <row r="6" spans="1:5" x14ac:dyDescent="0.3">
      <c r="A6" s="2"/>
      <c r="B6" t="s">
        <v>4</v>
      </c>
    </row>
    <row r="7" spans="1:5" x14ac:dyDescent="0.3">
      <c r="A7" s="2"/>
      <c r="B7" t="s">
        <v>96</v>
      </c>
    </row>
    <row r="8" spans="1:5" x14ac:dyDescent="0.3">
      <c r="A8" s="2"/>
      <c r="B8" t="s">
        <v>44</v>
      </c>
    </row>
    <row r="9" spans="1:5" x14ac:dyDescent="0.3">
      <c r="A9" s="2" t="s">
        <v>5</v>
      </c>
    </row>
    <row r="10" spans="1:5" x14ac:dyDescent="0.3">
      <c r="B10" t="s">
        <v>6</v>
      </c>
    </row>
    <row r="11" spans="1:5" x14ac:dyDescent="0.3">
      <c r="B11" t="s">
        <v>7</v>
      </c>
    </row>
    <row r="14" spans="1:5" ht="15" thickBot="1" x14ac:dyDescent="0.35">
      <c r="A14" t="s">
        <v>97</v>
      </c>
    </row>
    <row r="15" spans="1:5" ht="15" thickBot="1" x14ac:dyDescent="0.35">
      <c r="B15" s="6" t="s">
        <v>9</v>
      </c>
      <c r="C15" s="6" t="s">
        <v>10</v>
      </c>
      <c r="D15" s="6" t="s">
        <v>11</v>
      </c>
      <c r="E15" s="6" t="s">
        <v>12</v>
      </c>
    </row>
    <row r="16" spans="1:5" ht="15" thickBot="1" x14ac:dyDescent="0.35">
      <c r="B16" s="5" t="s">
        <v>46</v>
      </c>
      <c r="C16" s="5" t="s">
        <v>47</v>
      </c>
      <c r="D16" s="8">
        <v>0</v>
      </c>
      <c r="E16" s="8">
        <v>1350</v>
      </c>
    </row>
    <row r="19" spans="1:7" ht="15" thickBot="1" x14ac:dyDescent="0.35">
      <c r="A19" t="s">
        <v>13</v>
      </c>
    </row>
    <row r="20" spans="1:7" ht="15" thickBot="1" x14ac:dyDescent="0.35">
      <c r="B20" s="6" t="s">
        <v>9</v>
      </c>
      <c r="C20" s="6" t="s">
        <v>10</v>
      </c>
      <c r="D20" s="6" t="s">
        <v>11</v>
      </c>
      <c r="E20" s="6" t="s">
        <v>12</v>
      </c>
      <c r="F20" s="6" t="s">
        <v>14</v>
      </c>
    </row>
    <row r="21" spans="1:7" x14ac:dyDescent="0.3">
      <c r="B21" s="7" t="s">
        <v>62</v>
      </c>
      <c r="C21" s="7" t="s">
        <v>63</v>
      </c>
      <c r="D21" s="9">
        <v>0</v>
      </c>
      <c r="E21" s="9">
        <v>15</v>
      </c>
      <c r="F21" s="7" t="s">
        <v>19</v>
      </c>
    </row>
    <row r="22" spans="1:7" ht="15" thickBot="1" x14ac:dyDescent="0.35">
      <c r="B22" s="5" t="s">
        <v>64</v>
      </c>
      <c r="C22" s="5" t="s">
        <v>65</v>
      </c>
      <c r="D22" s="8">
        <v>0</v>
      </c>
      <c r="E22" s="8">
        <v>10</v>
      </c>
      <c r="F22" s="5" t="s">
        <v>19</v>
      </c>
    </row>
    <row r="25" spans="1:7" ht="15" thickBot="1" x14ac:dyDescent="0.35">
      <c r="A25" t="s">
        <v>0</v>
      </c>
    </row>
    <row r="26" spans="1:7" ht="15" thickBot="1" x14ac:dyDescent="0.35">
      <c r="B26" s="6" t="s">
        <v>9</v>
      </c>
      <c r="C26" s="6" t="s">
        <v>10</v>
      </c>
      <c r="D26" s="6" t="s">
        <v>15</v>
      </c>
      <c r="E26" s="6" t="s">
        <v>16</v>
      </c>
      <c r="F26" s="6" t="s">
        <v>17</v>
      </c>
      <c r="G26" s="6" t="s">
        <v>18</v>
      </c>
    </row>
    <row r="27" spans="1:7" x14ac:dyDescent="0.3">
      <c r="B27" s="7" t="s">
        <v>48</v>
      </c>
      <c r="C27" s="7" t="s">
        <v>49</v>
      </c>
      <c r="D27" s="9">
        <v>60</v>
      </c>
      <c r="E27" s="7" t="s">
        <v>50</v>
      </c>
      <c r="F27" s="7" t="s">
        <v>54</v>
      </c>
      <c r="G27" s="7">
        <v>20</v>
      </c>
    </row>
    <row r="28" spans="1:7" x14ac:dyDescent="0.3">
      <c r="B28" s="7" t="s">
        <v>51</v>
      </c>
      <c r="C28" s="7" t="s">
        <v>52</v>
      </c>
      <c r="D28" s="9">
        <v>120</v>
      </c>
      <c r="E28" s="7" t="s">
        <v>53</v>
      </c>
      <c r="F28" s="7" t="s">
        <v>54</v>
      </c>
      <c r="G28" s="7">
        <v>30</v>
      </c>
    </row>
    <row r="29" spans="1:7" x14ac:dyDescent="0.3">
      <c r="B29" s="7" t="s">
        <v>55</v>
      </c>
      <c r="C29" s="7" t="s">
        <v>56</v>
      </c>
      <c r="D29" s="9">
        <v>15</v>
      </c>
      <c r="E29" s="7" t="s">
        <v>98</v>
      </c>
      <c r="F29" s="7" t="s">
        <v>20</v>
      </c>
      <c r="G29" s="9">
        <v>0</v>
      </c>
    </row>
    <row r="30" spans="1:7" x14ac:dyDescent="0.3">
      <c r="B30" s="7" t="s">
        <v>99</v>
      </c>
      <c r="C30" s="7" t="s">
        <v>39</v>
      </c>
      <c r="D30" s="9">
        <v>10</v>
      </c>
      <c r="E30" s="7" t="s">
        <v>100</v>
      </c>
      <c r="F30" s="7" t="s">
        <v>20</v>
      </c>
      <c r="G30" s="9">
        <v>0</v>
      </c>
    </row>
    <row r="31" spans="1:7" x14ac:dyDescent="0.3">
      <c r="B31" s="7" t="s">
        <v>62</v>
      </c>
      <c r="C31" s="7" t="s">
        <v>63</v>
      </c>
      <c r="D31" s="9">
        <v>15</v>
      </c>
      <c r="E31" s="7" t="s">
        <v>66</v>
      </c>
      <c r="F31" s="7" t="s">
        <v>54</v>
      </c>
      <c r="G31" s="9">
        <v>15</v>
      </c>
    </row>
    <row r="32" spans="1:7" ht="15" thickBot="1" x14ac:dyDescent="0.35">
      <c r="B32" s="5" t="s">
        <v>64</v>
      </c>
      <c r="C32" s="5" t="s">
        <v>65</v>
      </c>
      <c r="D32" s="8">
        <v>10</v>
      </c>
      <c r="E32" s="5" t="s">
        <v>67</v>
      </c>
      <c r="F32" s="5" t="s">
        <v>54</v>
      </c>
      <c r="G32" s="8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1874-9238-4483-9A6F-F9E625DF5935}">
  <dimension ref="B1:J8"/>
  <sheetViews>
    <sheetView workbookViewId="0">
      <selection activeCell="E7" sqref="E7"/>
    </sheetView>
  </sheetViews>
  <sheetFormatPr defaultRowHeight="14.4" x14ac:dyDescent="0.3"/>
  <cols>
    <col min="2" max="2" width="19.5546875" bestFit="1" customWidth="1"/>
  </cols>
  <sheetData>
    <row r="1" spans="2:10" x14ac:dyDescent="0.3">
      <c r="B1" s="3"/>
      <c r="C1" s="3"/>
      <c r="D1" s="3"/>
      <c r="E1" s="3"/>
      <c r="F1" s="3"/>
      <c r="G1" s="3"/>
      <c r="I1" s="3"/>
      <c r="J1" s="3"/>
    </row>
    <row r="2" spans="2:10" x14ac:dyDescent="0.3">
      <c r="B2" s="12" t="s">
        <v>35</v>
      </c>
      <c r="C2" s="12" t="s">
        <v>37</v>
      </c>
      <c r="D2" s="12" t="s">
        <v>38</v>
      </c>
      <c r="E2" s="12" t="s">
        <v>39</v>
      </c>
      <c r="F2" s="3"/>
      <c r="G2" s="3"/>
      <c r="I2" s="14" t="s">
        <v>43</v>
      </c>
      <c r="J2" s="14"/>
    </row>
    <row r="3" spans="2:10" x14ac:dyDescent="0.3">
      <c r="B3" s="13" t="s">
        <v>36</v>
      </c>
      <c r="C3" s="4">
        <v>45</v>
      </c>
      <c r="D3" s="4">
        <v>67.5</v>
      </c>
      <c r="E3" s="4">
        <f>C3*$I$4+D3*$J$4</f>
        <v>1350</v>
      </c>
      <c r="F3" s="3"/>
      <c r="G3" s="3"/>
      <c r="I3" s="13" t="s">
        <v>37</v>
      </c>
      <c r="J3" s="13" t="s">
        <v>38</v>
      </c>
    </row>
    <row r="4" spans="2:10" x14ac:dyDescent="0.3">
      <c r="B4" s="4" t="s">
        <v>40</v>
      </c>
      <c r="C4" s="4">
        <v>2</v>
      </c>
      <c r="D4" s="4">
        <v>3</v>
      </c>
      <c r="E4" s="4">
        <f t="shared" ref="E4:E7" si="0">C4*$I$4+D4*$J$4</f>
        <v>60</v>
      </c>
      <c r="F4" s="15" t="s">
        <v>58</v>
      </c>
      <c r="G4" s="4">
        <v>80</v>
      </c>
      <c r="I4" s="4">
        <v>15</v>
      </c>
      <c r="J4" s="4">
        <v>10</v>
      </c>
    </row>
    <row r="5" spans="2:10" x14ac:dyDescent="0.3">
      <c r="B5" s="4" t="s">
        <v>41</v>
      </c>
      <c r="C5" s="4">
        <v>4</v>
      </c>
      <c r="D5" s="4">
        <v>6</v>
      </c>
      <c r="E5" s="4">
        <f t="shared" si="0"/>
        <v>120</v>
      </c>
      <c r="F5" s="15" t="s">
        <v>58</v>
      </c>
      <c r="G5" s="4">
        <v>150</v>
      </c>
      <c r="I5" s="3"/>
      <c r="J5" s="3"/>
    </row>
    <row r="6" spans="2:10" x14ac:dyDescent="0.3">
      <c r="B6" s="4" t="s">
        <v>42</v>
      </c>
      <c r="C6" s="4">
        <v>1</v>
      </c>
      <c r="D6" s="4">
        <v>0</v>
      </c>
      <c r="E6" s="4">
        <f t="shared" si="0"/>
        <v>15</v>
      </c>
      <c r="F6" s="15" t="s">
        <v>93</v>
      </c>
      <c r="G6" s="4">
        <v>15</v>
      </c>
      <c r="I6" s="3"/>
      <c r="J6" s="3"/>
    </row>
    <row r="7" spans="2:10" x14ac:dyDescent="0.3">
      <c r="B7" s="4"/>
      <c r="C7" s="4">
        <v>0</v>
      </c>
      <c r="D7" s="4">
        <v>1</v>
      </c>
      <c r="E7" s="4">
        <f t="shared" si="0"/>
        <v>10</v>
      </c>
      <c r="F7" s="15" t="s">
        <v>93</v>
      </c>
      <c r="G7" s="4">
        <v>10</v>
      </c>
      <c r="I7" s="3"/>
      <c r="J7" s="3"/>
    </row>
    <row r="8" spans="2:10" x14ac:dyDescent="0.3">
      <c r="B8" s="3"/>
      <c r="C8" s="3"/>
      <c r="D8" s="3"/>
      <c r="E8" s="3"/>
      <c r="F8" s="3"/>
      <c r="G8" s="3"/>
      <c r="I8" s="3"/>
      <c r="J8" s="3"/>
    </row>
  </sheetData>
  <mergeCells count="1">
    <mergeCell ref="I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FF3CD-D6A9-4C78-B5BD-AF85656DA338}">
  <dimension ref="A1:G52"/>
  <sheetViews>
    <sheetView showGridLines="0" topLeftCell="A8" workbookViewId="0">
      <selection activeCell="E17" sqref="E17"/>
    </sheetView>
  </sheetViews>
  <sheetFormatPr defaultRowHeight="14.4" x14ac:dyDescent="0.3"/>
  <cols>
    <col min="1" max="1" width="2.33203125" customWidth="1"/>
    <col min="2" max="2" width="5.6640625" bestFit="1" customWidth="1"/>
    <col min="3" max="3" width="20.77734375" bestFit="1" customWidth="1"/>
    <col min="4" max="4" width="12.6640625" bestFit="1" customWidth="1"/>
    <col min="5" max="5" width="12.5546875" bestFit="1" customWidth="1"/>
    <col min="6" max="6" width="10.44140625" bestFit="1" customWidth="1"/>
    <col min="7" max="7" width="12" bestFit="1" customWidth="1"/>
  </cols>
  <sheetData>
    <row r="1" spans="1:5" x14ac:dyDescent="0.3">
      <c r="A1" s="2" t="s">
        <v>1</v>
      </c>
    </row>
    <row r="2" spans="1:5" x14ac:dyDescent="0.3">
      <c r="A2" s="2" t="s">
        <v>103</v>
      </c>
    </row>
    <row r="3" spans="1:5" x14ac:dyDescent="0.3">
      <c r="A3" s="2" t="s">
        <v>104</v>
      </c>
    </row>
    <row r="4" spans="1:5" x14ac:dyDescent="0.3">
      <c r="A4" s="2" t="s">
        <v>2</v>
      </c>
    </row>
    <row r="5" spans="1:5" x14ac:dyDescent="0.3">
      <c r="A5" s="2" t="s">
        <v>3</v>
      </c>
    </row>
    <row r="6" spans="1:5" x14ac:dyDescent="0.3">
      <c r="A6" s="2"/>
      <c r="B6" t="s">
        <v>4</v>
      </c>
    </row>
    <row r="7" spans="1:5" x14ac:dyDescent="0.3">
      <c r="A7" s="2"/>
      <c r="B7" t="s">
        <v>105</v>
      </c>
    </row>
    <row r="8" spans="1:5" x14ac:dyDescent="0.3">
      <c r="A8" s="2"/>
      <c r="B8" t="s">
        <v>106</v>
      </c>
    </row>
    <row r="9" spans="1:5" x14ac:dyDescent="0.3">
      <c r="A9" s="2" t="s">
        <v>5</v>
      </c>
    </row>
    <row r="10" spans="1:5" x14ac:dyDescent="0.3">
      <c r="B10" t="s">
        <v>6</v>
      </c>
    </row>
    <row r="11" spans="1:5" x14ac:dyDescent="0.3">
      <c r="B11" t="s">
        <v>7</v>
      </c>
    </row>
    <row r="14" spans="1:5" ht="15" thickBot="1" x14ac:dyDescent="0.35">
      <c r="A14" t="s">
        <v>97</v>
      </c>
    </row>
    <row r="15" spans="1:5" ht="15" thickBot="1" x14ac:dyDescent="0.35">
      <c r="B15" s="6" t="s">
        <v>9</v>
      </c>
      <c r="C15" s="6" t="s">
        <v>10</v>
      </c>
      <c r="D15" s="6" t="s">
        <v>11</v>
      </c>
      <c r="E15" s="6" t="s">
        <v>12</v>
      </c>
    </row>
    <row r="16" spans="1:5" ht="15" thickBot="1" x14ac:dyDescent="0.35">
      <c r="B16" s="5" t="s">
        <v>107</v>
      </c>
      <c r="C16" s="5" t="s">
        <v>47</v>
      </c>
      <c r="D16" s="8">
        <v>0</v>
      </c>
      <c r="E16" s="8">
        <v>73</v>
      </c>
    </row>
    <row r="19" spans="1:7" ht="15" thickBot="1" x14ac:dyDescent="0.35">
      <c r="A19" t="s">
        <v>13</v>
      </c>
    </row>
    <row r="20" spans="1:7" ht="15" thickBot="1" x14ac:dyDescent="0.35">
      <c r="B20" s="6" t="s">
        <v>9</v>
      </c>
      <c r="C20" s="6" t="s">
        <v>10</v>
      </c>
      <c r="D20" s="6" t="s">
        <v>11</v>
      </c>
      <c r="E20" s="6" t="s">
        <v>12</v>
      </c>
      <c r="F20" s="6" t="s">
        <v>14</v>
      </c>
    </row>
    <row r="21" spans="1:7" x14ac:dyDescent="0.3">
      <c r="B21" s="7" t="s">
        <v>108</v>
      </c>
      <c r="C21" s="7" t="s">
        <v>109</v>
      </c>
      <c r="D21" s="9">
        <v>0</v>
      </c>
      <c r="E21" s="9">
        <v>20</v>
      </c>
      <c r="F21" s="7" t="s">
        <v>19</v>
      </c>
    </row>
    <row r="22" spans="1:7" x14ac:dyDescent="0.3">
      <c r="B22" s="7" t="s">
        <v>110</v>
      </c>
      <c r="C22" s="7" t="s">
        <v>111</v>
      </c>
      <c r="D22" s="9">
        <v>0</v>
      </c>
      <c r="E22" s="9">
        <v>8.3333333333333321</v>
      </c>
      <c r="F22" s="7" t="s">
        <v>19</v>
      </c>
    </row>
    <row r="23" spans="1:7" x14ac:dyDescent="0.3">
      <c r="B23" s="7" t="s">
        <v>112</v>
      </c>
      <c r="C23" s="7" t="s">
        <v>113</v>
      </c>
      <c r="D23" s="9">
        <v>0</v>
      </c>
      <c r="E23" s="9">
        <v>18.333333333333332</v>
      </c>
      <c r="F23" s="7" t="s">
        <v>19</v>
      </c>
    </row>
    <row r="24" spans="1:7" x14ac:dyDescent="0.3">
      <c r="B24" s="7" t="s">
        <v>114</v>
      </c>
      <c r="C24" s="7" t="s">
        <v>115</v>
      </c>
      <c r="D24" s="9">
        <v>0</v>
      </c>
      <c r="E24" s="9">
        <v>0</v>
      </c>
      <c r="F24" s="7" t="s">
        <v>19</v>
      </c>
    </row>
    <row r="25" spans="1:7" x14ac:dyDescent="0.3">
      <c r="B25" s="7" t="s">
        <v>116</v>
      </c>
      <c r="C25" s="7" t="s">
        <v>117</v>
      </c>
      <c r="D25" s="9">
        <v>0</v>
      </c>
      <c r="E25" s="9">
        <v>13.333333333333332</v>
      </c>
      <c r="F25" s="7" t="s">
        <v>19</v>
      </c>
    </row>
    <row r="26" spans="1:7" x14ac:dyDescent="0.3">
      <c r="B26" s="7" t="s">
        <v>118</v>
      </c>
      <c r="C26" s="7" t="s">
        <v>119</v>
      </c>
      <c r="D26" s="9">
        <v>0</v>
      </c>
      <c r="E26" s="9">
        <v>10</v>
      </c>
      <c r="F26" s="7" t="s">
        <v>19</v>
      </c>
    </row>
    <row r="27" spans="1:7" ht="15" thickBot="1" x14ac:dyDescent="0.35">
      <c r="B27" s="5" t="s">
        <v>120</v>
      </c>
      <c r="C27" s="5" t="s">
        <v>121</v>
      </c>
      <c r="D27" s="8">
        <v>0</v>
      </c>
      <c r="E27" s="8">
        <v>3.333333333333333</v>
      </c>
      <c r="F27" s="5" t="s">
        <v>19</v>
      </c>
    </row>
    <row r="30" spans="1:7" ht="15" thickBot="1" x14ac:dyDescent="0.35">
      <c r="A30" t="s">
        <v>0</v>
      </c>
    </row>
    <row r="31" spans="1:7" ht="15" thickBot="1" x14ac:dyDescent="0.35">
      <c r="B31" s="6" t="s">
        <v>9</v>
      </c>
      <c r="C31" s="6" t="s">
        <v>10</v>
      </c>
      <c r="D31" s="6" t="s">
        <v>15</v>
      </c>
      <c r="E31" s="6" t="s">
        <v>16</v>
      </c>
      <c r="F31" s="6" t="s">
        <v>17</v>
      </c>
      <c r="G31" s="6" t="s">
        <v>18</v>
      </c>
    </row>
    <row r="32" spans="1:7" x14ac:dyDescent="0.3">
      <c r="B32" s="7" t="s">
        <v>122</v>
      </c>
      <c r="C32" s="7" t="s">
        <v>39</v>
      </c>
      <c r="D32" s="9">
        <v>20</v>
      </c>
      <c r="E32" s="7" t="s">
        <v>123</v>
      </c>
      <c r="F32" s="7" t="s">
        <v>54</v>
      </c>
      <c r="G32" s="7">
        <v>20</v>
      </c>
    </row>
    <row r="33" spans="2:7" x14ac:dyDescent="0.3">
      <c r="B33" s="7" t="s">
        <v>124</v>
      </c>
      <c r="C33" s="7" t="s">
        <v>39</v>
      </c>
      <c r="D33" s="9">
        <v>8.3333333333333321</v>
      </c>
      <c r="E33" s="7" t="s">
        <v>125</v>
      </c>
      <c r="F33" s="7" t="s">
        <v>54</v>
      </c>
      <c r="G33" s="7">
        <v>31.666666666666668</v>
      </c>
    </row>
    <row r="34" spans="2:7" x14ac:dyDescent="0.3">
      <c r="B34" s="7" t="s">
        <v>126</v>
      </c>
      <c r="C34" s="7" t="s">
        <v>39</v>
      </c>
      <c r="D34" s="9">
        <v>18.333333333333332</v>
      </c>
      <c r="E34" s="7" t="s">
        <v>127</v>
      </c>
      <c r="F34" s="7" t="s">
        <v>54</v>
      </c>
      <c r="G34" s="7">
        <v>21.666666666666668</v>
      </c>
    </row>
    <row r="35" spans="2:7" x14ac:dyDescent="0.3">
      <c r="B35" s="7" t="s">
        <v>128</v>
      </c>
      <c r="C35" s="7" t="s">
        <v>39</v>
      </c>
      <c r="D35" s="9">
        <v>0</v>
      </c>
      <c r="E35" s="7" t="s">
        <v>129</v>
      </c>
      <c r="F35" s="7" t="s">
        <v>54</v>
      </c>
      <c r="G35" s="7">
        <v>40</v>
      </c>
    </row>
    <row r="36" spans="2:7" x14ac:dyDescent="0.3">
      <c r="B36" s="7" t="s">
        <v>130</v>
      </c>
      <c r="C36" s="7" t="s">
        <v>39</v>
      </c>
      <c r="D36" s="9">
        <v>13.333333333333332</v>
      </c>
      <c r="E36" s="7" t="s">
        <v>131</v>
      </c>
      <c r="F36" s="7" t="s">
        <v>54</v>
      </c>
      <c r="G36" s="7">
        <v>26.666666666666668</v>
      </c>
    </row>
    <row r="37" spans="2:7" x14ac:dyDescent="0.3">
      <c r="B37" s="7" t="s">
        <v>132</v>
      </c>
      <c r="C37" s="7" t="s">
        <v>39</v>
      </c>
      <c r="D37" s="9">
        <v>10</v>
      </c>
      <c r="E37" s="7" t="s">
        <v>133</v>
      </c>
      <c r="F37" s="7" t="s">
        <v>54</v>
      </c>
      <c r="G37" s="7">
        <v>30</v>
      </c>
    </row>
    <row r="38" spans="2:7" x14ac:dyDescent="0.3">
      <c r="B38" s="7" t="s">
        <v>134</v>
      </c>
      <c r="C38" s="7" t="s">
        <v>39</v>
      </c>
      <c r="D38" s="9">
        <v>3.333333333333333</v>
      </c>
      <c r="E38" s="7" t="s">
        <v>135</v>
      </c>
      <c r="F38" s="7" t="s">
        <v>54</v>
      </c>
      <c r="G38" s="7">
        <v>36.666666666666664</v>
      </c>
    </row>
    <row r="39" spans="2:7" x14ac:dyDescent="0.3">
      <c r="B39" s="7" t="s">
        <v>64</v>
      </c>
      <c r="C39" s="7" t="s">
        <v>49</v>
      </c>
      <c r="D39" s="9">
        <v>46.666666666666664</v>
      </c>
      <c r="E39" s="7" t="s">
        <v>136</v>
      </c>
      <c r="F39" s="7" t="s">
        <v>54</v>
      </c>
      <c r="G39" s="9">
        <v>11.666666666666664</v>
      </c>
    </row>
    <row r="40" spans="2:7" x14ac:dyDescent="0.3">
      <c r="B40" s="7" t="s">
        <v>137</v>
      </c>
      <c r="C40" s="7" t="s">
        <v>52</v>
      </c>
      <c r="D40" s="9">
        <v>55</v>
      </c>
      <c r="E40" s="7" t="s">
        <v>138</v>
      </c>
      <c r="F40" s="7" t="s">
        <v>20</v>
      </c>
      <c r="G40" s="9">
        <v>0</v>
      </c>
    </row>
    <row r="41" spans="2:7" x14ac:dyDescent="0.3">
      <c r="B41" s="7" t="s">
        <v>139</v>
      </c>
      <c r="C41" s="7" t="s">
        <v>56</v>
      </c>
      <c r="D41" s="9">
        <v>60</v>
      </c>
      <c r="E41" s="7" t="s">
        <v>140</v>
      </c>
      <c r="F41" s="7" t="s">
        <v>20</v>
      </c>
      <c r="G41" s="9">
        <v>0</v>
      </c>
    </row>
    <row r="42" spans="2:7" x14ac:dyDescent="0.3">
      <c r="B42" s="7" t="s">
        <v>141</v>
      </c>
      <c r="C42" s="7" t="s">
        <v>39</v>
      </c>
      <c r="D42" s="9">
        <v>50</v>
      </c>
      <c r="E42" s="7" t="s">
        <v>142</v>
      </c>
      <c r="F42" s="7" t="s">
        <v>20</v>
      </c>
      <c r="G42" s="9">
        <v>0</v>
      </c>
    </row>
    <row r="43" spans="2:7" x14ac:dyDescent="0.3">
      <c r="B43" s="7" t="s">
        <v>143</v>
      </c>
      <c r="C43" s="7" t="s">
        <v>39</v>
      </c>
      <c r="D43" s="9">
        <v>60</v>
      </c>
      <c r="E43" s="7" t="s">
        <v>144</v>
      </c>
      <c r="F43" s="7" t="s">
        <v>20</v>
      </c>
      <c r="G43" s="9">
        <v>0</v>
      </c>
    </row>
    <row r="44" spans="2:7" x14ac:dyDescent="0.3">
      <c r="B44" s="7" t="s">
        <v>145</v>
      </c>
      <c r="C44" s="7" t="s">
        <v>39</v>
      </c>
      <c r="D44" s="9">
        <v>50</v>
      </c>
      <c r="E44" s="7" t="s">
        <v>146</v>
      </c>
      <c r="F44" s="7" t="s">
        <v>20</v>
      </c>
      <c r="G44" s="9">
        <v>0</v>
      </c>
    </row>
    <row r="45" spans="2:7" x14ac:dyDescent="0.3">
      <c r="B45" s="7" t="s">
        <v>147</v>
      </c>
      <c r="C45" s="7" t="s">
        <v>39</v>
      </c>
      <c r="D45" s="9">
        <v>45</v>
      </c>
      <c r="E45" s="7" t="s">
        <v>148</v>
      </c>
      <c r="F45" s="7" t="s">
        <v>20</v>
      </c>
      <c r="G45" s="9">
        <v>0</v>
      </c>
    </row>
    <row r="46" spans="2:7" x14ac:dyDescent="0.3">
      <c r="B46" s="7" t="s">
        <v>108</v>
      </c>
      <c r="C46" s="7" t="s">
        <v>109</v>
      </c>
      <c r="D46" s="9">
        <v>20</v>
      </c>
      <c r="E46" s="7" t="s">
        <v>149</v>
      </c>
      <c r="F46" s="7" t="s">
        <v>54</v>
      </c>
      <c r="G46" s="9">
        <v>20</v>
      </c>
    </row>
    <row r="47" spans="2:7" x14ac:dyDescent="0.3">
      <c r="B47" s="7" t="s">
        <v>110</v>
      </c>
      <c r="C47" s="7" t="s">
        <v>111</v>
      </c>
      <c r="D47" s="9">
        <v>8.3333333333333321</v>
      </c>
      <c r="E47" s="7" t="s">
        <v>150</v>
      </c>
      <c r="F47" s="7" t="s">
        <v>54</v>
      </c>
      <c r="G47" s="9">
        <v>8.3333333333333321</v>
      </c>
    </row>
    <row r="48" spans="2:7" x14ac:dyDescent="0.3">
      <c r="B48" s="7" t="s">
        <v>112</v>
      </c>
      <c r="C48" s="7" t="s">
        <v>113</v>
      </c>
      <c r="D48" s="9">
        <v>18.333333333333332</v>
      </c>
      <c r="E48" s="7" t="s">
        <v>151</v>
      </c>
      <c r="F48" s="7" t="s">
        <v>54</v>
      </c>
      <c r="G48" s="9">
        <v>18.333333333333332</v>
      </c>
    </row>
    <row r="49" spans="2:7" x14ac:dyDescent="0.3">
      <c r="B49" s="7" t="s">
        <v>114</v>
      </c>
      <c r="C49" s="7" t="s">
        <v>115</v>
      </c>
      <c r="D49" s="9">
        <v>0</v>
      </c>
      <c r="E49" s="7" t="s">
        <v>152</v>
      </c>
      <c r="F49" s="7" t="s">
        <v>20</v>
      </c>
      <c r="G49" s="9">
        <v>0</v>
      </c>
    </row>
    <row r="50" spans="2:7" x14ac:dyDescent="0.3">
      <c r="B50" s="7" t="s">
        <v>116</v>
      </c>
      <c r="C50" s="7" t="s">
        <v>117</v>
      </c>
      <c r="D50" s="9">
        <v>13.333333333333332</v>
      </c>
      <c r="E50" s="7" t="s">
        <v>153</v>
      </c>
      <c r="F50" s="7" t="s">
        <v>54</v>
      </c>
      <c r="G50" s="9">
        <v>13.333333333333332</v>
      </c>
    </row>
    <row r="51" spans="2:7" x14ac:dyDescent="0.3">
      <c r="B51" s="7" t="s">
        <v>118</v>
      </c>
      <c r="C51" s="7" t="s">
        <v>119</v>
      </c>
      <c r="D51" s="9">
        <v>10</v>
      </c>
      <c r="E51" s="7" t="s">
        <v>154</v>
      </c>
      <c r="F51" s="7" t="s">
        <v>54</v>
      </c>
      <c r="G51" s="9">
        <v>10</v>
      </c>
    </row>
    <row r="52" spans="2:7" ht="15" thickBot="1" x14ac:dyDescent="0.35">
      <c r="B52" s="5" t="s">
        <v>120</v>
      </c>
      <c r="C52" s="5" t="s">
        <v>121</v>
      </c>
      <c r="D52" s="8">
        <v>3.333333333333333</v>
      </c>
      <c r="E52" s="5" t="s">
        <v>155</v>
      </c>
      <c r="F52" s="5" t="s">
        <v>54</v>
      </c>
      <c r="G52" s="8">
        <v>3.333333333333333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6AB0-5D18-4876-B395-3C4ED6775C6B}">
  <dimension ref="B1:T18"/>
  <sheetViews>
    <sheetView workbookViewId="0">
      <selection activeCell="L4" sqref="L4"/>
    </sheetView>
  </sheetViews>
  <sheetFormatPr defaultRowHeight="14.4" x14ac:dyDescent="0.3"/>
  <cols>
    <col min="2" max="2" width="19.5546875" bestFit="1" customWidth="1"/>
    <col min="3" max="12" width="8.88671875" style="32"/>
  </cols>
  <sheetData>
    <row r="1" spans="2:20" x14ac:dyDescent="0.3">
      <c r="B1" s="3"/>
      <c r="N1" s="3"/>
      <c r="O1" s="3"/>
    </row>
    <row r="2" spans="2:20" x14ac:dyDescent="0.3">
      <c r="B2" s="12" t="s">
        <v>35</v>
      </c>
      <c r="C2" s="33" t="s">
        <v>37</v>
      </c>
      <c r="D2" s="33" t="s">
        <v>38</v>
      </c>
      <c r="E2" s="33" t="s">
        <v>68</v>
      </c>
      <c r="F2" s="33" t="s">
        <v>91</v>
      </c>
      <c r="G2" s="33" t="s">
        <v>92</v>
      </c>
      <c r="H2" s="33" t="s">
        <v>101</v>
      </c>
      <c r="I2" s="33" t="s">
        <v>102</v>
      </c>
      <c r="J2" s="33" t="s">
        <v>39</v>
      </c>
      <c r="N2" s="14" t="s">
        <v>43</v>
      </c>
      <c r="O2" s="14"/>
      <c r="P2" s="14"/>
      <c r="Q2" s="14"/>
      <c r="R2" s="14"/>
      <c r="S2" s="14"/>
      <c r="T2" s="14"/>
    </row>
    <row r="3" spans="2:20" x14ac:dyDescent="0.3">
      <c r="B3" s="13" t="s">
        <v>36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f>C3*$N$4+D3*$O$4+E3*$P$4+F3*$Q$4+G3*$R$4+H3*$S$4+I3*$T$4</f>
        <v>73.333333333333329</v>
      </c>
      <c r="N3" s="13" t="s">
        <v>37</v>
      </c>
      <c r="O3" s="13" t="s">
        <v>38</v>
      </c>
      <c r="P3" s="13" t="s">
        <v>68</v>
      </c>
      <c r="Q3" s="13" t="s">
        <v>91</v>
      </c>
      <c r="R3" s="13" t="s">
        <v>92</v>
      </c>
      <c r="S3" s="13" t="s">
        <v>101</v>
      </c>
      <c r="T3" s="13" t="s">
        <v>102</v>
      </c>
    </row>
    <row r="4" spans="2:20" x14ac:dyDescent="0.3">
      <c r="B4" s="4" t="s">
        <v>40</v>
      </c>
      <c r="C4" s="34">
        <v>1</v>
      </c>
      <c r="D4" s="34">
        <v>0</v>
      </c>
      <c r="E4" s="34">
        <v>0</v>
      </c>
      <c r="F4" s="34">
        <v>1</v>
      </c>
      <c r="G4" s="34">
        <v>1</v>
      </c>
      <c r="H4" s="34">
        <v>1</v>
      </c>
      <c r="I4" s="35">
        <v>1</v>
      </c>
      <c r="J4" s="34">
        <f t="shared" ref="J4:J18" si="0">C4*$N$4+D4*$O$4+E4*$P$4+F4*$Q$4+G4*$R$4+H4*$S$4+I4*$T$4</f>
        <v>46.666666666666664</v>
      </c>
      <c r="K4" s="36" t="s">
        <v>93</v>
      </c>
      <c r="L4" s="34">
        <v>35</v>
      </c>
      <c r="N4" s="4">
        <v>20</v>
      </c>
      <c r="O4" s="4">
        <v>8.3333333333333321</v>
      </c>
      <c r="P4" s="13">
        <v>18.333333333333332</v>
      </c>
      <c r="Q4" s="13">
        <v>0</v>
      </c>
      <c r="R4" s="13">
        <v>13.333333333333332</v>
      </c>
      <c r="S4" s="13">
        <v>10</v>
      </c>
      <c r="T4" s="13">
        <v>3.333333333333333</v>
      </c>
    </row>
    <row r="5" spans="2:20" x14ac:dyDescent="0.3">
      <c r="B5" s="4" t="s">
        <v>41</v>
      </c>
      <c r="C5" s="34">
        <v>1</v>
      </c>
      <c r="D5" s="34">
        <v>1</v>
      </c>
      <c r="E5" s="34">
        <v>0</v>
      </c>
      <c r="F5" s="34">
        <v>0</v>
      </c>
      <c r="G5" s="34">
        <v>1</v>
      </c>
      <c r="H5" s="34">
        <v>1</v>
      </c>
      <c r="I5" s="35">
        <v>1</v>
      </c>
      <c r="J5" s="34">
        <f t="shared" si="0"/>
        <v>55</v>
      </c>
      <c r="K5" s="36" t="s">
        <v>93</v>
      </c>
      <c r="L5" s="34">
        <v>55</v>
      </c>
      <c r="N5" s="3"/>
      <c r="O5" s="3"/>
    </row>
    <row r="6" spans="2:20" x14ac:dyDescent="0.3">
      <c r="B6" s="4" t="s">
        <v>42</v>
      </c>
      <c r="C6" s="34">
        <v>1</v>
      </c>
      <c r="D6" s="34">
        <v>1</v>
      </c>
      <c r="E6" s="34">
        <v>1</v>
      </c>
      <c r="F6" s="34">
        <v>0</v>
      </c>
      <c r="G6" s="34">
        <v>0</v>
      </c>
      <c r="H6" s="34">
        <v>1</v>
      </c>
      <c r="I6" s="35">
        <v>1</v>
      </c>
      <c r="J6" s="34">
        <f t="shared" si="0"/>
        <v>60</v>
      </c>
      <c r="K6" s="36" t="s">
        <v>93</v>
      </c>
      <c r="L6" s="34">
        <v>60</v>
      </c>
      <c r="N6" s="3"/>
      <c r="O6" s="3"/>
    </row>
    <row r="7" spans="2:20" x14ac:dyDescent="0.3">
      <c r="B7" s="3"/>
      <c r="C7" s="34">
        <v>1</v>
      </c>
      <c r="D7" s="34">
        <v>1</v>
      </c>
      <c r="E7" s="34">
        <v>1</v>
      </c>
      <c r="F7" s="34">
        <v>1</v>
      </c>
      <c r="G7" s="34">
        <v>0</v>
      </c>
      <c r="H7" s="34">
        <v>0</v>
      </c>
      <c r="I7" s="34">
        <v>1</v>
      </c>
      <c r="J7" s="34">
        <f t="shared" si="0"/>
        <v>50</v>
      </c>
      <c r="K7" s="36" t="s">
        <v>93</v>
      </c>
      <c r="L7" s="34">
        <v>50</v>
      </c>
      <c r="N7" s="3"/>
      <c r="O7" s="3"/>
    </row>
    <row r="8" spans="2:20" x14ac:dyDescent="0.3">
      <c r="B8" s="3"/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0</v>
      </c>
      <c r="I8" s="34">
        <v>0</v>
      </c>
      <c r="J8" s="34">
        <f t="shared" si="0"/>
        <v>60</v>
      </c>
      <c r="K8" s="36" t="s">
        <v>93</v>
      </c>
      <c r="L8" s="34">
        <v>60</v>
      </c>
      <c r="N8" s="3"/>
      <c r="O8" s="3"/>
    </row>
    <row r="9" spans="2:20" x14ac:dyDescent="0.3">
      <c r="C9" s="34">
        <v>0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0</v>
      </c>
      <c r="J9" s="34">
        <f t="shared" si="0"/>
        <v>50</v>
      </c>
      <c r="K9" s="36" t="s">
        <v>93</v>
      </c>
      <c r="L9" s="34">
        <v>50</v>
      </c>
    </row>
    <row r="10" spans="2:20" x14ac:dyDescent="0.3">
      <c r="C10" s="34">
        <v>0</v>
      </c>
      <c r="D10" s="34">
        <v>0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f t="shared" si="0"/>
        <v>45</v>
      </c>
      <c r="K10" s="36" t="s">
        <v>93</v>
      </c>
      <c r="L10" s="34">
        <v>45</v>
      </c>
    </row>
    <row r="11" spans="2:20" x14ac:dyDescent="0.3">
      <c r="C11" s="37"/>
      <c r="D11" s="37"/>
      <c r="E11" s="37"/>
      <c r="F11" s="37"/>
      <c r="G11" s="37"/>
      <c r="H11" s="37"/>
      <c r="I11" s="37"/>
      <c r="J11" s="37"/>
      <c r="K11" s="38"/>
      <c r="L11" s="37"/>
    </row>
    <row r="12" spans="2:20" x14ac:dyDescent="0.3">
      <c r="C12" s="34">
        <v>1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f t="shared" si="0"/>
        <v>20</v>
      </c>
      <c r="K12" s="36" t="s">
        <v>58</v>
      </c>
      <c r="L12" s="34">
        <v>40</v>
      </c>
    </row>
    <row r="13" spans="2:20" x14ac:dyDescent="0.3">
      <c r="C13" s="34">
        <v>0</v>
      </c>
      <c r="D13" s="34">
        <v>1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f t="shared" si="0"/>
        <v>8.3333333333333321</v>
      </c>
      <c r="K13" s="36" t="s">
        <v>58</v>
      </c>
      <c r="L13" s="34">
        <v>40</v>
      </c>
    </row>
    <row r="14" spans="2:20" x14ac:dyDescent="0.3">
      <c r="C14" s="34">
        <v>0</v>
      </c>
      <c r="D14" s="34">
        <v>0</v>
      </c>
      <c r="E14" s="34">
        <v>1</v>
      </c>
      <c r="F14" s="34">
        <v>0</v>
      </c>
      <c r="G14" s="34">
        <v>0</v>
      </c>
      <c r="H14" s="34">
        <v>0</v>
      </c>
      <c r="I14" s="34">
        <v>0</v>
      </c>
      <c r="J14" s="34">
        <f t="shared" si="0"/>
        <v>18.333333333333332</v>
      </c>
      <c r="K14" s="36" t="s">
        <v>58</v>
      </c>
      <c r="L14" s="34">
        <v>40</v>
      </c>
    </row>
    <row r="15" spans="2:20" x14ac:dyDescent="0.3">
      <c r="C15" s="34">
        <v>0</v>
      </c>
      <c r="D15" s="34">
        <v>0</v>
      </c>
      <c r="E15" s="34">
        <v>0</v>
      </c>
      <c r="F15" s="34">
        <v>1</v>
      </c>
      <c r="G15" s="34">
        <v>0</v>
      </c>
      <c r="H15" s="34">
        <v>0</v>
      </c>
      <c r="I15" s="34">
        <v>0</v>
      </c>
      <c r="J15" s="34">
        <f t="shared" si="0"/>
        <v>0</v>
      </c>
      <c r="K15" s="36" t="s">
        <v>58</v>
      </c>
      <c r="L15" s="34">
        <v>40</v>
      </c>
    </row>
    <row r="16" spans="2:20" x14ac:dyDescent="0.3">
      <c r="C16" s="34">
        <v>0</v>
      </c>
      <c r="D16" s="34">
        <v>0</v>
      </c>
      <c r="E16" s="34">
        <v>0</v>
      </c>
      <c r="F16" s="34">
        <v>0</v>
      </c>
      <c r="G16" s="34">
        <v>1</v>
      </c>
      <c r="H16" s="34">
        <v>0</v>
      </c>
      <c r="I16" s="34">
        <v>0</v>
      </c>
      <c r="J16" s="34">
        <f t="shared" si="0"/>
        <v>13.333333333333332</v>
      </c>
      <c r="K16" s="36" t="s">
        <v>58</v>
      </c>
      <c r="L16" s="34">
        <v>40</v>
      </c>
    </row>
    <row r="17" spans="3:12" x14ac:dyDescent="0.3"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1</v>
      </c>
      <c r="I17" s="34"/>
      <c r="J17" s="34">
        <f t="shared" si="0"/>
        <v>10</v>
      </c>
      <c r="K17" s="36" t="s">
        <v>58</v>
      </c>
      <c r="L17" s="34">
        <v>40</v>
      </c>
    </row>
    <row r="18" spans="3:12" x14ac:dyDescent="0.3"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1</v>
      </c>
      <c r="J18" s="34">
        <f t="shared" si="0"/>
        <v>3.333333333333333</v>
      </c>
      <c r="K18" s="36" t="s">
        <v>58</v>
      </c>
      <c r="L18" s="34">
        <v>40</v>
      </c>
    </row>
  </sheetData>
  <mergeCells count="1">
    <mergeCell ref="N2:T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726F-6615-455E-AF76-2DB8F509CFAD}">
  <dimension ref="B1:J8"/>
  <sheetViews>
    <sheetView workbookViewId="0">
      <selection activeCell="C3" sqref="C3"/>
    </sheetView>
  </sheetViews>
  <sheetFormatPr defaultRowHeight="14.4" x14ac:dyDescent="0.3"/>
  <cols>
    <col min="2" max="2" width="19.5546875" bestFit="1" customWidth="1"/>
  </cols>
  <sheetData>
    <row r="1" spans="2:10" x14ac:dyDescent="0.3">
      <c r="B1" s="3"/>
      <c r="C1" s="3"/>
      <c r="D1" s="3"/>
      <c r="E1" s="3"/>
      <c r="F1" s="3"/>
      <c r="G1" s="3"/>
      <c r="I1" s="3"/>
      <c r="J1" s="3"/>
    </row>
    <row r="2" spans="2:10" x14ac:dyDescent="0.3">
      <c r="B2" s="12" t="s">
        <v>35</v>
      </c>
      <c r="C2" s="12" t="s">
        <v>37</v>
      </c>
      <c r="D2" s="12" t="s">
        <v>38</v>
      </c>
      <c r="E2" s="12" t="s">
        <v>39</v>
      </c>
      <c r="F2" s="3"/>
      <c r="G2" s="3"/>
      <c r="I2" s="14" t="s">
        <v>43</v>
      </c>
      <c r="J2" s="14"/>
    </row>
    <row r="3" spans="2:10" x14ac:dyDescent="0.3">
      <c r="B3" s="13" t="s">
        <v>36</v>
      </c>
      <c r="C3" s="4"/>
      <c r="D3" s="4"/>
      <c r="E3" s="4"/>
      <c r="F3" s="3"/>
      <c r="G3" s="3"/>
      <c r="I3" s="13" t="s">
        <v>37</v>
      </c>
      <c r="J3" s="13" t="s">
        <v>38</v>
      </c>
    </row>
    <row r="4" spans="2:10" x14ac:dyDescent="0.3">
      <c r="B4" s="4" t="s">
        <v>40</v>
      </c>
      <c r="C4" s="4"/>
      <c r="D4" s="4"/>
      <c r="E4" s="4"/>
      <c r="F4" s="15" t="s">
        <v>58</v>
      </c>
      <c r="G4" s="4"/>
      <c r="I4" s="4"/>
      <c r="J4" s="4"/>
    </row>
    <row r="5" spans="2:10" x14ac:dyDescent="0.3">
      <c r="B5" s="4" t="s">
        <v>41</v>
      </c>
      <c r="C5" s="4"/>
      <c r="D5" s="4"/>
      <c r="E5" s="4"/>
      <c r="F5" s="15" t="s">
        <v>58</v>
      </c>
      <c r="G5" s="4"/>
      <c r="I5" s="3"/>
      <c r="J5" s="3"/>
    </row>
    <row r="6" spans="2:10" x14ac:dyDescent="0.3">
      <c r="B6" s="4" t="s">
        <v>42</v>
      </c>
      <c r="C6" s="4"/>
      <c r="D6" s="4"/>
      <c r="E6" s="4"/>
      <c r="F6" s="15" t="s">
        <v>58</v>
      </c>
      <c r="G6" s="4"/>
      <c r="I6" s="3"/>
      <c r="J6" s="3"/>
    </row>
    <row r="7" spans="2:10" x14ac:dyDescent="0.3">
      <c r="B7" s="3"/>
      <c r="C7" s="3"/>
      <c r="D7" s="3"/>
      <c r="E7" s="3"/>
      <c r="F7" s="3"/>
      <c r="G7" s="3"/>
      <c r="I7" s="3"/>
      <c r="J7" s="3"/>
    </row>
    <row r="8" spans="2:10" x14ac:dyDescent="0.3">
      <c r="B8" s="3"/>
      <c r="C8" s="3"/>
      <c r="D8" s="3"/>
      <c r="E8" s="3"/>
      <c r="F8" s="3"/>
      <c r="G8" s="3"/>
      <c r="I8" s="3"/>
      <c r="J8" s="3"/>
    </row>
  </sheetData>
  <mergeCells count="1">
    <mergeCell ref="I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18B8D-1549-4DFC-9CEB-9A164D7B819E}">
  <dimension ref="A1:G48"/>
  <sheetViews>
    <sheetView showGridLines="0" tabSelected="1" workbookViewId="0"/>
  </sheetViews>
  <sheetFormatPr defaultRowHeight="14.4" x14ac:dyDescent="0.3"/>
  <cols>
    <col min="1" max="1" width="2.33203125" customWidth="1"/>
    <col min="2" max="2" width="6.21875" bestFit="1" customWidth="1"/>
    <col min="3" max="3" width="29.109375" bestFit="1" customWidth="1"/>
    <col min="4" max="4" width="12.6640625" bestFit="1" customWidth="1"/>
    <col min="5" max="5" width="12.44140625" bestFit="1" customWidth="1"/>
    <col min="6" max="6" width="7" bestFit="1" customWidth="1"/>
    <col min="7" max="7" width="5.33203125" bestFit="1" customWidth="1"/>
  </cols>
  <sheetData>
    <row r="1" spans="1:5" x14ac:dyDescent="0.3">
      <c r="A1" s="2" t="s">
        <v>1</v>
      </c>
    </row>
    <row r="2" spans="1:5" x14ac:dyDescent="0.3">
      <c r="A2" s="2" t="s">
        <v>168</v>
      </c>
    </row>
    <row r="3" spans="1:5" x14ac:dyDescent="0.3">
      <c r="A3" s="2" t="s">
        <v>194</v>
      </c>
    </row>
    <row r="4" spans="1:5" x14ac:dyDescent="0.3">
      <c r="A4" s="2" t="s">
        <v>2</v>
      </c>
    </row>
    <row r="5" spans="1:5" x14ac:dyDescent="0.3">
      <c r="A5" s="2" t="s">
        <v>3</v>
      </c>
    </row>
    <row r="6" spans="1:5" x14ac:dyDescent="0.3">
      <c r="A6" s="2"/>
      <c r="B6" t="s">
        <v>4</v>
      </c>
    </row>
    <row r="7" spans="1:5" x14ac:dyDescent="0.3">
      <c r="A7" s="2"/>
      <c r="B7" t="s">
        <v>195</v>
      </c>
    </row>
    <row r="8" spans="1:5" x14ac:dyDescent="0.3">
      <c r="A8" s="2"/>
      <c r="B8" t="s">
        <v>196</v>
      </c>
    </row>
    <row r="9" spans="1:5" x14ac:dyDescent="0.3">
      <c r="A9" s="2" t="s">
        <v>5</v>
      </c>
    </row>
    <row r="10" spans="1:5" x14ac:dyDescent="0.3">
      <c r="B10" t="s">
        <v>45</v>
      </c>
    </row>
    <row r="11" spans="1:5" x14ac:dyDescent="0.3">
      <c r="B11" t="s">
        <v>7</v>
      </c>
    </row>
    <row r="14" spans="1:5" ht="15" thickBot="1" x14ac:dyDescent="0.35">
      <c r="A14" t="s">
        <v>97</v>
      </c>
    </row>
    <row r="15" spans="1:5" ht="15" thickBot="1" x14ac:dyDescent="0.35">
      <c r="B15" s="6" t="s">
        <v>9</v>
      </c>
      <c r="C15" s="6" t="s">
        <v>10</v>
      </c>
      <c r="D15" s="6" t="s">
        <v>11</v>
      </c>
      <c r="E15" s="6" t="s">
        <v>12</v>
      </c>
    </row>
    <row r="16" spans="1:5" ht="15" thickBot="1" x14ac:dyDescent="0.35">
      <c r="B16" s="5" t="s">
        <v>197</v>
      </c>
      <c r="C16" s="49" t="s">
        <v>163</v>
      </c>
      <c r="D16" s="8">
        <v>0</v>
      </c>
      <c r="E16" s="8">
        <v>38</v>
      </c>
    </row>
    <row r="19" spans="1:6" ht="15" thickBot="1" x14ac:dyDescent="0.35">
      <c r="A19" t="s">
        <v>13</v>
      </c>
    </row>
    <row r="20" spans="1:6" ht="15" thickBot="1" x14ac:dyDescent="0.35">
      <c r="B20" s="6" t="s">
        <v>9</v>
      </c>
      <c r="C20" s="6" t="s">
        <v>10</v>
      </c>
      <c r="D20" s="6" t="s">
        <v>11</v>
      </c>
      <c r="E20" s="6" t="s">
        <v>12</v>
      </c>
      <c r="F20" s="6" t="s">
        <v>14</v>
      </c>
    </row>
    <row r="21" spans="1:6" x14ac:dyDescent="0.3">
      <c r="B21" s="7" t="s">
        <v>198</v>
      </c>
      <c r="C21" s="7" t="s">
        <v>169</v>
      </c>
      <c r="D21" s="9">
        <v>0</v>
      </c>
      <c r="E21" s="9">
        <v>0</v>
      </c>
      <c r="F21" s="7" t="s">
        <v>19</v>
      </c>
    </row>
    <row r="22" spans="1:6" x14ac:dyDescent="0.3">
      <c r="B22" s="7" t="s">
        <v>199</v>
      </c>
      <c r="C22" s="7" t="s">
        <v>170</v>
      </c>
      <c r="D22" s="9">
        <v>0</v>
      </c>
      <c r="E22" s="9">
        <v>1</v>
      </c>
      <c r="F22" s="7" t="s">
        <v>19</v>
      </c>
    </row>
    <row r="23" spans="1:6" x14ac:dyDescent="0.3">
      <c r="B23" s="7" t="s">
        <v>200</v>
      </c>
      <c r="C23" s="7" t="s">
        <v>171</v>
      </c>
      <c r="D23" s="9">
        <v>0</v>
      </c>
      <c r="E23" s="9">
        <v>0</v>
      </c>
      <c r="F23" s="7" t="s">
        <v>19</v>
      </c>
    </row>
    <row r="24" spans="1:6" x14ac:dyDescent="0.3">
      <c r="B24" s="7" t="s">
        <v>201</v>
      </c>
      <c r="C24" s="7" t="s">
        <v>172</v>
      </c>
      <c r="D24" s="9">
        <v>0</v>
      </c>
      <c r="E24" s="9">
        <v>0</v>
      </c>
      <c r="F24" s="7" t="s">
        <v>19</v>
      </c>
    </row>
    <row r="25" spans="1:6" x14ac:dyDescent="0.3">
      <c r="B25" s="7" t="s">
        <v>202</v>
      </c>
      <c r="C25" s="7" t="s">
        <v>173</v>
      </c>
      <c r="D25" s="9">
        <v>0</v>
      </c>
      <c r="E25" s="9">
        <v>1</v>
      </c>
      <c r="F25" s="7" t="s">
        <v>19</v>
      </c>
    </row>
    <row r="26" spans="1:6" x14ac:dyDescent="0.3">
      <c r="B26" s="7" t="s">
        <v>203</v>
      </c>
      <c r="C26" s="7" t="s">
        <v>174</v>
      </c>
      <c r="D26" s="9">
        <v>0</v>
      </c>
      <c r="E26" s="9">
        <v>0</v>
      </c>
      <c r="F26" s="7" t="s">
        <v>19</v>
      </c>
    </row>
    <row r="27" spans="1:6" x14ac:dyDescent="0.3">
      <c r="B27" s="7" t="s">
        <v>204</v>
      </c>
      <c r="C27" s="7" t="s">
        <v>175</v>
      </c>
      <c r="D27" s="9">
        <v>0</v>
      </c>
      <c r="E27" s="9">
        <v>0</v>
      </c>
      <c r="F27" s="7" t="s">
        <v>19</v>
      </c>
    </row>
    <row r="28" spans="1:6" x14ac:dyDescent="0.3">
      <c r="B28" s="7" t="s">
        <v>205</v>
      </c>
      <c r="C28" s="7" t="s">
        <v>176</v>
      </c>
      <c r="D28" s="9">
        <v>0</v>
      </c>
      <c r="E28" s="9">
        <v>0</v>
      </c>
      <c r="F28" s="7" t="s">
        <v>19</v>
      </c>
    </row>
    <row r="29" spans="1:6" x14ac:dyDescent="0.3">
      <c r="B29" s="7" t="s">
        <v>206</v>
      </c>
      <c r="C29" s="7" t="s">
        <v>177</v>
      </c>
      <c r="D29" s="9">
        <v>0</v>
      </c>
      <c r="E29" s="9">
        <v>0</v>
      </c>
      <c r="F29" s="7" t="s">
        <v>19</v>
      </c>
    </row>
    <row r="30" spans="1:6" x14ac:dyDescent="0.3">
      <c r="B30" s="7" t="s">
        <v>207</v>
      </c>
      <c r="C30" s="7" t="s">
        <v>178</v>
      </c>
      <c r="D30" s="9">
        <v>0</v>
      </c>
      <c r="E30" s="9">
        <v>0</v>
      </c>
      <c r="F30" s="7" t="s">
        <v>19</v>
      </c>
    </row>
    <row r="31" spans="1:6" x14ac:dyDescent="0.3">
      <c r="B31" s="7" t="s">
        <v>208</v>
      </c>
      <c r="C31" s="7" t="s">
        <v>179</v>
      </c>
      <c r="D31" s="9">
        <v>0</v>
      </c>
      <c r="E31" s="9">
        <v>1</v>
      </c>
      <c r="F31" s="7" t="s">
        <v>19</v>
      </c>
    </row>
    <row r="32" spans="1:6" x14ac:dyDescent="0.3">
      <c r="B32" s="7" t="s">
        <v>209</v>
      </c>
      <c r="C32" s="7" t="s">
        <v>180</v>
      </c>
      <c r="D32" s="9">
        <v>0</v>
      </c>
      <c r="E32" s="9">
        <v>0</v>
      </c>
      <c r="F32" s="7" t="s">
        <v>19</v>
      </c>
    </row>
    <row r="33" spans="1:7" x14ac:dyDescent="0.3">
      <c r="B33" s="7" t="s">
        <v>210</v>
      </c>
      <c r="C33" s="7" t="s">
        <v>181</v>
      </c>
      <c r="D33" s="9">
        <v>0</v>
      </c>
      <c r="E33" s="9">
        <v>0</v>
      </c>
      <c r="F33" s="7" t="s">
        <v>19</v>
      </c>
    </row>
    <row r="34" spans="1:7" x14ac:dyDescent="0.3">
      <c r="B34" s="7" t="s">
        <v>211</v>
      </c>
      <c r="C34" s="7" t="s">
        <v>182</v>
      </c>
      <c r="D34" s="9">
        <v>0</v>
      </c>
      <c r="E34" s="9">
        <v>0</v>
      </c>
      <c r="F34" s="7" t="s">
        <v>19</v>
      </c>
    </row>
    <row r="35" spans="1:7" x14ac:dyDescent="0.3">
      <c r="B35" s="7" t="s">
        <v>212</v>
      </c>
      <c r="C35" s="7" t="s">
        <v>183</v>
      </c>
      <c r="D35" s="9">
        <v>0</v>
      </c>
      <c r="E35" s="9">
        <v>0</v>
      </c>
      <c r="F35" s="7" t="s">
        <v>19</v>
      </c>
    </row>
    <row r="36" spans="1:7" ht="15" thickBot="1" x14ac:dyDescent="0.35">
      <c r="B36" s="5" t="s">
        <v>213</v>
      </c>
      <c r="C36" s="5" t="s">
        <v>184</v>
      </c>
      <c r="D36" s="8">
        <v>0</v>
      </c>
      <c r="E36" s="8">
        <v>1</v>
      </c>
      <c r="F36" s="5" t="s">
        <v>19</v>
      </c>
    </row>
    <row r="39" spans="1:7" ht="15" thickBot="1" x14ac:dyDescent="0.35">
      <c r="A39" t="s">
        <v>0</v>
      </c>
    </row>
    <row r="40" spans="1:7" ht="15" thickBot="1" x14ac:dyDescent="0.35">
      <c r="B40" s="6" t="s">
        <v>9</v>
      </c>
      <c r="C40" s="6" t="s">
        <v>10</v>
      </c>
      <c r="D40" s="6" t="s">
        <v>15</v>
      </c>
      <c r="E40" s="6" t="s">
        <v>16</v>
      </c>
      <c r="F40" s="6" t="s">
        <v>17</v>
      </c>
      <c r="G40" s="6" t="s">
        <v>18</v>
      </c>
    </row>
    <row r="41" spans="1:7" x14ac:dyDescent="0.3">
      <c r="B41" s="7" t="s">
        <v>214</v>
      </c>
      <c r="C41" s="7" t="s">
        <v>159</v>
      </c>
      <c r="D41" s="9">
        <v>1</v>
      </c>
      <c r="E41" s="7" t="s">
        <v>215</v>
      </c>
      <c r="F41" s="7" t="s">
        <v>20</v>
      </c>
      <c r="G41" s="7">
        <v>0</v>
      </c>
    </row>
    <row r="42" spans="1:7" x14ac:dyDescent="0.3">
      <c r="B42" s="7" t="s">
        <v>216</v>
      </c>
      <c r="C42" s="7" t="s">
        <v>160</v>
      </c>
      <c r="D42" s="9">
        <v>1</v>
      </c>
      <c r="E42" s="7" t="s">
        <v>217</v>
      </c>
      <c r="F42" s="7" t="s">
        <v>20</v>
      </c>
      <c r="G42" s="7">
        <v>0</v>
      </c>
    </row>
    <row r="43" spans="1:7" x14ac:dyDescent="0.3">
      <c r="B43" s="7" t="s">
        <v>218</v>
      </c>
      <c r="C43" s="7" t="s">
        <v>161</v>
      </c>
      <c r="D43" s="9">
        <v>1</v>
      </c>
      <c r="E43" s="7" t="s">
        <v>219</v>
      </c>
      <c r="F43" s="7" t="s">
        <v>20</v>
      </c>
      <c r="G43" s="7">
        <v>0</v>
      </c>
    </row>
    <row r="44" spans="1:7" x14ac:dyDescent="0.3">
      <c r="B44" s="7" t="s">
        <v>220</v>
      </c>
      <c r="C44" s="7" t="s">
        <v>162</v>
      </c>
      <c r="D44" s="9">
        <v>1</v>
      </c>
      <c r="E44" s="7" t="s">
        <v>221</v>
      </c>
      <c r="F44" s="7" t="s">
        <v>20</v>
      </c>
      <c r="G44" s="7">
        <v>0</v>
      </c>
    </row>
    <row r="45" spans="1:7" x14ac:dyDescent="0.3">
      <c r="B45" s="7" t="s">
        <v>222</v>
      </c>
      <c r="C45" s="7" t="s">
        <v>223</v>
      </c>
      <c r="D45" s="9">
        <v>1</v>
      </c>
      <c r="E45" s="7" t="s">
        <v>224</v>
      </c>
      <c r="F45" s="7" t="s">
        <v>20</v>
      </c>
      <c r="G45" s="7">
        <v>0</v>
      </c>
    </row>
    <row r="46" spans="1:7" x14ac:dyDescent="0.3">
      <c r="B46" s="7" t="s">
        <v>225</v>
      </c>
      <c r="C46" s="7" t="s">
        <v>226</v>
      </c>
      <c r="D46" s="9">
        <v>1</v>
      </c>
      <c r="E46" s="7" t="s">
        <v>227</v>
      </c>
      <c r="F46" s="7" t="s">
        <v>20</v>
      </c>
      <c r="G46" s="7">
        <v>0</v>
      </c>
    </row>
    <row r="47" spans="1:7" x14ac:dyDescent="0.3">
      <c r="B47" s="7" t="s">
        <v>228</v>
      </c>
      <c r="C47" s="7" t="s">
        <v>229</v>
      </c>
      <c r="D47" s="9">
        <v>1</v>
      </c>
      <c r="E47" s="7" t="s">
        <v>230</v>
      </c>
      <c r="F47" s="7" t="s">
        <v>20</v>
      </c>
      <c r="G47" s="7">
        <v>0</v>
      </c>
    </row>
    <row r="48" spans="1:7" ht="15" thickBot="1" x14ac:dyDescent="0.35">
      <c r="B48" s="5" t="s">
        <v>231</v>
      </c>
      <c r="C48" s="5" t="s">
        <v>232</v>
      </c>
      <c r="D48" s="8">
        <v>1</v>
      </c>
      <c r="E48" s="5" t="s">
        <v>233</v>
      </c>
      <c r="F48" s="5" t="s">
        <v>20</v>
      </c>
      <c r="G48" s="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9215-69E4-41F3-8734-F9DBABBFEF32}">
  <dimension ref="A1:H36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29.109375" bestFit="1" customWidth="1"/>
    <col min="4" max="4" width="5.77734375" bestFit="1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2" t="s">
        <v>21</v>
      </c>
    </row>
    <row r="2" spans="1:8" x14ac:dyDescent="0.3">
      <c r="A2" s="2" t="s">
        <v>168</v>
      </c>
    </row>
    <row r="3" spans="1:8" x14ac:dyDescent="0.3">
      <c r="A3" s="2" t="s">
        <v>234</v>
      </c>
    </row>
    <row r="6" spans="1:8" ht="15" thickBot="1" x14ac:dyDescent="0.35">
      <c r="A6" t="s">
        <v>13</v>
      </c>
    </row>
    <row r="7" spans="1:8" x14ac:dyDescent="0.3">
      <c r="B7" s="10"/>
      <c r="C7" s="10"/>
      <c r="D7" s="10" t="s">
        <v>22</v>
      </c>
      <c r="E7" s="10" t="s">
        <v>24</v>
      </c>
      <c r="F7" s="10" t="s">
        <v>26</v>
      </c>
      <c r="G7" s="10" t="s">
        <v>28</v>
      </c>
      <c r="H7" s="10" t="s">
        <v>28</v>
      </c>
    </row>
    <row r="8" spans="1:8" ht="15" thickBot="1" x14ac:dyDescent="0.35">
      <c r="B8" s="11" t="s">
        <v>9</v>
      </c>
      <c r="C8" s="11" t="s">
        <v>10</v>
      </c>
      <c r="D8" s="11" t="s">
        <v>23</v>
      </c>
      <c r="E8" s="11" t="s">
        <v>25</v>
      </c>
      <c r="F8" s="11" t="s">
        <v>27</v>
      </c>
      <c r="G8" s="11" t="s">
        <v>29</v>
      </c>
      <c r="H8" s="11" t="s">
        <v>30</v>
      </c>
    </row>
    <row r="9" spans="1:8" x14ac:dyDescent="0.3">
      <c r="B9" s="7" t="s">
        <v>198</v>
      </c>
      <c r="C9" s="7" t="s">
        <v>169</v>
      </c>
      <c r="D9" s="7">
        <v>0</v>
      </c>
      <c r="E9" s="7">
        <v>5</v>
      </c>
      <c r="F9" s="7">
        <v>22</v>
      </c>
      <c r="G9" s="7">
        <v>1E+30</v>
      </c>
      <c r="H9" s="7">
        <v>5</v>
      </c>
    </row>
    <row r="10" spans="1:8" x14ac:dyDescent="0.3">
      <c r="B10" s="7" t="s">
        <v>199</v>
      </c>
      <c r="C10" s="7" t="s">
        <v>170</v>
      </c>
      <c r="D10" s="7">
        <v>1</v>
      </c>
      <c r="E10" s="7">
        <v>0</v>
      </c>
      <c r="F10" s="7">
        <v>15</v>
      </c>
      <c r="G10" s="7">
        <v>2</v>
      </c>
      <c r="H10" s="7">
        <v>1E+30</v>
      </c>
    </row>
    <row r="11" spans="1:8" x14ac:dyDescent="0.3">
      <c r="B11" s="7" t="s">
        <v>200</v>
      </c>
      <c r="C11" s="7" t="s">
        <v>171</v>
      </c>
      <c r="D11" s="7">
        <v>0</v>
      </c>
      <c r="E11" s="7">
        <v>0</v>
      </c>
      <c r="F11" s="7">
        <v>10</v>
      </c>
      <c r="G11" s="7">
        <v>6</v>
      </c>
      <c r="H11" s="7">
        <v>2</v>
      </c>
    </row>
    <row r="12" spans="1:8" x14ac:dyDescent="0.3">
      <c r="B12" s="7" t="s">
        <v>201</v>
      </c>
      <c r="C12" s="7" t="s">
        <v>172</v>
      </c>
      <c r="D12" s="7">
        <v>0</v>
      </c>
      <c r="E12" s="7">
        <v>0</v>
      </c>
      <c r="F12" s="7">
        <v>18</v>
      </c>
      <c r="G12" s="7">
        <v>3</v>
      </c>
      <c r="H12" s="7">
        <v>6</v>
      </c>
    </row>
    <row r="13" spans="1:8" x14ac:dyDescent="0.3">
      <c r="B13" s="7" t="s">
        <v>202</v>
      </c>
      <c r="C13" s="7" t="s">
        <v>173</v>
      </c>
      <c r="D13" s="7">
        <v>1</v>
      </c>
      <c r="E13" s="7">
        <v>0</v>
      </c>
      <c r="F13" s="7">
        <v>8</v>
      </c>
      <c r="G13" s="7">
        <v>3</v>
      </c>
      <c r="H13" s="7">
        <v>1E+30</v>
      </c>
    </row>
    <row r="14" spans="1:8" x14ac:dyDescent="0.3">
      <c r="B14" s="7" t="s">
        <v>203</v>
      </c>
      <c r="C14" s="7" t="s">
        <v>174</v>
      </c>
      <c r="D14" s="7">
        <v>0</v>
      </c>
      <c r="E14" s="7">
        <v>14</v>
      </c>
      <c r="F14" s="7">
        <v>20</v>
      </c>
      <c r="G14" s="7">
        <v>1E+30</v>
      </c>
      <c r="H14" s="7">
        <v>14</v>
      </c>
    </row>
    <row r="15" spans="1:8" x14ac:dyDescent="0.3">
      <c r="B15" s="7" t="s">
        <v>204</v>
      </c>
      <c r="C15" s="7" t="s">
        <v>175</v>
      </c>
      <c r="D15" s="7">
        <v>0</v>
      </c>
      <c r="E15" s="7">
        <v>24</v>
      </c>
      <c r="F15" s="7">
        <v>25</v>
      </c>
      <c r="G15" s="7">
        <v>1E+30</v>
      </c>
      <c r="H15" s="7">
        <v>24</v>
      </c>
    </row>
    <row r="16" spans="1:8" x14ac:dyDescent="0.3">
      <c r="B16" s="7" t="s">
        <v>205</v>
      </c>
      <c r="C16" s="7" t="s">
        <v>176</v>
      </c>
      <c r="D16" s="7">
        <v>0</v>
      </c>
      <c r="E16" s="7">
        <v>3</v>
      </c>
      <c r="F16" s="7">
        <v>12</v>
      </c>
      <c r="G16" s="7">
        <v>1E+30</v>
      </c>
      <c r="H16" s="7">
        <v>3</v>
      </c>
    </row>
    <row r="17" spans="1:8" x14ac:dyDescent="0.3">
      <c r="B17" s="7" t="s">
        <v>206</v>
      </c>
      <c r="C17" s="7" t="s">
        <v>177</v>
      </c>
      <c r="D17" s="7">
        <v>0</v>
      </c>
      <c r="E17" s="7">
        <v>3</v>
      </c>
      <c r="F17" s="7">
        <v>15</v>
      </c>
      <c r="G17" s="7">
        <v>1E+30</v>
      </c>
      <c r="H17" s="7">
        <v>3</v>
      </c>
    </row>
    <row r="18" spans="1:8" x14ac:dyDescent="0.3">
      <c r="B18" s="7" t="s">
        <v>207</v>
      </c>
      <c r="C18" s="7" t="s">
        <v>178</v>
      </c>
      <c r="D18" s="7">
        <v>0</v>
      </c>
      <c r="E18" s="7">
        <v>2</v>
      </c>
      <c r="F18" s="7">
        <v>12</v>
      </c>
      <c r="G18" s="7">
        <v>1E+30</v>
      </c>
      <c r="H18" s="7">
        <v>2</v>
      </c>
    </row>
    <row r="19" spans="1:8" x14ac:dyDescent="0.3">
      <c r="B19" s="7" t="s">
        <v>208</v>
      </c>
      <c r="C19" s="7" t="s">
        <v>179</v>
      </c>
      <c r="D19" s="7">
        <v>1</v>
      </c>
      <c r="E19" s="7">
        <v>0</v>
      </c>
      <c r="F19" s="7">
        <v>5</v>
      </c>
      <c r="G19" s="7">
        <v>2</v>
      </c>
      <c r="H19" s="7">
        <v>1E+30</v>
      </c>
    </row>
    <row r="20" spans="1:8" x14ac:dyDescent="0.3">
      <c r="B20" s="7" t="s">
        <v>209</v>
      </c>
      <c r="C20" s="7" t="s">
        <v>180</v>
      </c>
      <c r="D20" s="7">
        <v>0</v>
      </c>
      <c r="E20" s="7">
        <v>4</v>
      </c>
      <c r="F20" s="7">
        <v>17</v>
      </c>
      <c r="G20" s="7">
        <v>1E+30</v>
      </c>
      <c r="H20" s="7">
        <v>4</v>
      </c>
    </row>
    <row r="21" spans="1:8" x14ac:dyDescent="0.3">
      <c r="B21" s="7" t="s">
        <v>210</v>
      </c>
      <c r="C21" s="7" t="s">
        <v>181</v>
      </c>
      <c r="D21" s="7">
        <v>0</v>
      </c>
      <c r="E21" s="7">
        <v>0</v>
      </c>
      <c r="F21" s="7">
        <v>9</v>
      </c>
      <c r="G21" s="7">
        <v>3</v>
      </c>
      <c r="H21" s="7">
        <v>3</v>
      </c>
    </row>
    <row r="22" spans="1:8" x14ac:dyDescent="0.3">
      <c r="B22" s="7" t="s">
        <v>211</v>
      </c>
      <c r="C22" s="7" t="s">
        <v>182</v>
      </c>
      <c r="D22" s="7">
        <v>0</v>
      </c>
      <c r="E22" s="7">
        <v>6</v>
      </c>
      <c r="F22" s="7">
        <v>13</v>
      </c>
      <c r="G22" s="7">
        <v>1E+30</v>
      </c>
      <c r="H22" s="7">
        <v>6</v>
      </c>
    </row>
    <row r="23" spans="1:8" x14ac:dyDescent="0.3">
      <c r="B23" s="7" t="s">
        <v>212</v>
      </c>
      <c r="C23" s="7" t="s">
        <v>183</v>
      </c>
      <c r="D23" s="7">
        <v>0</v>
      </c>
      <c r="E23" s="7">
        <v>6</v>
      </c>
      <c r="F23" s="7">
        <v>8</v>
      </c>
      <c r="G23" s="7">
        <v>1E+30</v>
      </c>
      <c r="H23" s="7">
        <v>6</v>
      </c>
    </row>
    <row r="24" spans="1:8" ht="15" thickBot="1" x14ac:dyDescent="0.35">
      <c r="B24" s="5" t="s">
        <v>213</v>
      </c>
      <c r="C24" s="5" t="s">
        <v>184</v>
      </c>
      <c r="D24" s="5">
        <v>1</v>
      </c>
      <c r="E24" s="5">
        <v>0</v>
      </c>
      <c r="F24" s="5">
        <v>10</v>
      </c>
      <c r="G24" s="5">
        <v>3</v>
      </c>
      <c r="H24" s="5">
        <v>3</v>
      </c>
    </row>
    <row r="26" spans="1:8" ht="15" thickBot="1" x14ac:dyDescent="0.35">
      <c r="A26" t="s">
        <v>0</v>
      </c>
    </row>
    <row r="27" spans="1:8" x14ac:dyDescent="0.3">
      <c r="B27" s="10"/>
      <c r="C27" s="10"/>
      <c r="D27" s="10" t="s">
        <v>22</v>
      </c>
      <c r="E27" s="10" t="s">
        <v>31</v>
      </c>
      <c r="F27" s="10" t="s">
        <v>33</v>
      </c>
      <c r="G27" s="10" t="s">
        <v>28</v>
      </c>
      <c r="H27" s="10" t="s">
        <v>28</v>
      </c>
    </row>
    <row r="28" spans="1:8" ht="15" thickBot="1" x14ac:dyDescent="0.35">
      <c r="B28" s="11" t="s">
        <v>9</v>
      </c>
      <c r="C28" s="11" t="s">
        <v>10</v>
      </c>
      <c r="D28" s="11" t="s">
        <v>23</v>
      </c>
      <c r="E28" s="11" t="s">
        <v>32</v>
      </c>
      <c r="F28" s="11" t="s">
        <v>34</v>
      </c>
      <c r="G28" s="11" t="s">
        <v>29</v>
      </c>
      <c r="H28" s="11" t="s">
        <v>30</v>
      </c>
    </row>
    <row r="29" spans="1:8" x14ac:dyDescent="0.3">
      <c r="B29" s="7" t="s">
        <v>214</v>
      </c>
      <c r="C29" s="7" t="s">
        <v>159</v>
      </c>
      <c r="D29" s="7">
        <v>1</v>
      </c>
      <c r="E29" s="7">
        <v>12</v>
      </c>
      <c r="F29" s="7">
        <v>1</v>
      </c>
      <c r="G29" s="7">
        <v>0</v>
      </c>
      <c r="H29" s="7">
        <v>0</v>
      </c>
    </row>
    <row r="30" spans="1:8" x14ac:dyDescent="0.3">
      <c r="B30" s="7" t="s">
        <v>216</v>
      </c>
      <c r="C30" s="7" t="s">
        <v>160</v>
      </c>
      <c r="D30" s="7">
        <v>1</v>
      </c>
      <c r="E30" s="7">
        <v>10</v>
      </c>
      <c r="F30" s="7">
        <v>1</v>
      </c>
      <c r="G30" s="7">
        <v>0</v>
      </c>
      <c r="H30" s="7">
        <v>1</v>
      </c>
    </row>
    <row r="31" spans="1:8" x14ac:dyDescent="0.3">
      <c r="B31" s="7" t="s">
        <v>218</v>
      </c>
      <c r="C31" s="7" t="s">
        <v>161</v>
      </c>
      <c r="D31" s="7">
        <v>1</v>
      </c>
      <c r="E31" s="7">
        <v>5</v>
      </c>
      <c r="F31" s="7">
        <v>1</v>
      </c>
      <c r="G31" s="7">
        <v>0</v>
      </c>
      <c r="H31" s="7">
        <v>1</v>
      </c>
    </row>
    <row r="32" spans="1:8" x14ac:dyDescent="0.3">
      <c r="B32" s="7" t="s">
        <v>220</v>
      </c>
      <c r="C32" s="7" t="s">
        <v>162</v>
      </c>
      <c r="D32" s="7">
        <v>1</v>
      </c>
      <c r="E32" s="7">
        <v>13</v>
      </c>
      <c r="F32" s="7">
        <v>1</v>
      </c>
      <c r="G32" s="7">
        <v>0</v>
      </c>
      <c r="H32" s="7">
        <v>0</v>
      </c>
    </row>
    <row r="33" spans="2:8" x14ac:dyDescent="0.3">
      <c r="B33" s="7" t="s">
        <v>222</v>
      </c>
      <c r="C33" s="7" t="s">
        <v>223</v>
      </c>
      <c r="D33" s="7">
        <v>1</v>
      </c>
      <c r="E33" s="7">
        <v>5</v>
      </c>
      <c r="F33" s="7">
        <v>1</v>
      </c>
      <c r="G33" s="7">
        <v>1</v>
      </c>
      <c r="H33" s="7">
        <v>0</v>
      </c>
    </row>
    <row r="34" spans="2:8" x14ac:dyDescent="0.3">
      <c r="B34" s="7" t="s">
        <v>225</v>
      </c>
      <c r="C34" s="7" t="s">
        <v>226</v>
      </c>
      <c r="D34" s="7">
        <v>1</v>
      </c>
      <c r="E34" s="7">
        <v>-4</v>
      </c>
      <c r="F34" s="7">
        <v>1</v>
      </c>
      <c r="G34" s="7">
        <v>0</v>
      </c>
      <c r="H34" s="7">
        <v>0</v>
      </c>
    </row>
    <row r="35" spans="2:8" x14ac:dyDescent="0.3">
      <c r="B35" s="7" t="s">
        <v>228</v>
      </c>
      <c r="C35" s="7" t="s">
        <v>229</v>
      </c>
      <c r="D35" s="7">
        <v>1</v>
      </c>
      <c r="E35" s="7">
        <v>0</v>
      </c>
      <c r="F35" s="7">
        <v>1</v>
      </c>
      <c r="G35" s="7">
        <v>0</v>
      </c>
      <c r="H35" s="7">
        <v>1E+30</v>
      </c>
    </row>
    <row r="36" spans="2:8" ht="15" thickBot="1" x14ac:dyDescent="0.35">
      <c r="B36" s="5" t="s">
        <v>231</v>
      </c>
      <c r="C36" s="5" t="s">
        <v>232</v>
      </c>
      <c r="D36" s="5">
        <v>1</v>
      </c>
      <c r="E36" s="5">
        <v>-3</v>
      </c>
      <c r="F36" s="5">
        <v>1</v>
      </c>
      <c r="G36" s="5">
        <v>0</v>
      </c>
      <c r="H36" s="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0513-86EE-491A-A0FD-896F9468D286}">
  <dimension ref="A1:M33"/>
  <sheetViews>
    <sheetView topLeftCell="A10" workbookViewId="0">
      <selection activeCell="F29" sqref="F29"/>
    </sheetView>
  </sheetViews>
  <sheetFormatPr defaultRowHeight="14.4" x14ac:dyDescent="0.3"/>
  <cols>
    <col min="6" max="6" width="10.21875" bestFit="1" customWidth="1"/>
    <col min="10" max="10" width="12" bestFit="1" customWidth="1"/>
    <col min="11" max="11" width="17.33203125" customWidth="1"/>
  </cols>
  <sheetData>
    <row r="1" spans="1:13" x14ac:dyDescent="0.3">
      <c r="B1" s="39"/>
      <c r="C1" s="39"/>
      <c r="D1" s="39"/>
      <c r="E1" s="39"/>
      <c r="F1" s="40"/>
      <c r="G1" s="41"/>
      <c r="H1" s="41"/>
    </row>
    <row r="2" spans="1:13" x14ac:dyDescent="0.3">
      <c r="A2" s="42"/>
      <c r="B2" s="42"/>
      <c r="C2" s="42"/>
      <c r="D2" s="42"/>
      <c r="E2" s="42"/>
      <c r="F2" s="43"/>
      <c r="G2" s="43"/>
      <c r="H2" s="43"/>
    </row>
    <row r="3" spans="1:13" x14ac:dyDescent="0.3">
      <c r="A3" s="42"/>
      <c r="B3" s="44"/>
      <c r="C3" s="44"/>
      <c r="D3" s="44"/>
      <c r="E3" s="44"/>
    </row>
    <row r="4" spans="1:13" x14ac:dyDescent="0.3">
      <c r="A4" s="42"/>
      <c r="B4" s="44"/>
      <c r="C4" s="44"/>
      <c r="D4" s="44"/>
      <c r="E4" s="44"/>
    </row>
    <row r="5" spans="1:13" x14ac:dyDescent="0.3">
      <c r="A5" s="42"/>
      <c r="B5" s="44"/>
      <c r="C5" s="44"/>
      <c r="D5" s="44"/>
      <c r="E5" s="44"/>
    </row>
    <row r="6" spans="1:13" x14ac:dyDescent="0.3">
      <c r="A6" s="42"/>
      <c r="B6" s="44"/>
      <c r="C6" s="44"/>
      <c r="D6" s="44"/>
      <c r="E6" s="44"/>
    </row>
    <row r="8" spans="1:13" x14ac:dyDescent="0.3">
      <c r="F8" s="1"/>
      <c r="G8" s="39"/>
      <c r="H8" s="39"/>
      <c r="I8" s="39"/>
      <c r="J8" s="39"/>
      <c r="K8" s="1"/>
    </row>
    <row r="9" spans="1:13" x14ac:dyDescent="0.3">
      <c r="F9" s="42"/>
      <c r="G9" s="42"/>
      <c r="H9" s="42"/>
      <c r="I9" s="42"/>
      <c r="J9" s="42"/>
      <c r="K9" s="1"/>
    </row>
    <row r="10" spans="1:13" x14ac:dyDescent="0.3">
      <c r="F10" s="42"/>
      <c r="G10" s="44"/>
      <c r="H10" s="44"/>
      <c r="I10" s="44"/>
      <c r="J10" s="44"/>
      <c r="K10" s="47"/>
      <c r="M10" s="46"/>
    </row>
    <row r="11" spans="1:13" x14ac:dyDescent="0.3">
      <c r="F11" s="42"/>
      <c r="G11" s="44"/>
      <c r="H11" s="44"/>
      <c r="I11" s="44"/>
      <c r="J11" s="44"/>
      <c r="K11" s="47"/>
      <c r="M11" s="46"/>
    </row>
    <row r="12" spans="1:13" x14ac:dyDescent="0.3">
      <c r="F12" s="42"/>
      <c r="G12" s="44"/>
      <c r="H12" s="44"/>
      <c r="I12" s="44"/>
      <c r="J12" s="44"/>
      <c r="K12" s="47"/>
      <c r="M12" s="46"/>
    </row>
    <row r="13" spans="1:13" x14ac:dyDescent="0.3">
      <c r="F13" s="42"/>
      <c r="G13" s="44"/>
      <c r="H13" s="44"/>
      <c r="I13" s="44"/>
      <c r="J13" s="44"/>
      <c r="K13" s="47"/>
      <c r="M13" s="46"/>
    </row>
    <row r="14" spans="1:13" x14ac:dyDescent="0.3">
      <c r="F14" s="42"/>
      <c r="G14" s="47"/>
      <c r="H14" s="47"/>
      <c r="I14" s="47"/>
      <c r="J14" s="47"/>
      <c r="K14" s="47"/>
      <c r="L14" s="45"/>
    </row>
    <row r="16" spans="1:13" x14ac:dyDescent="0.3">
      <c r="G16" s="48"/>
      <c r="H16" s="48"/>
      <c r="I16" s="48"/>
      <c r="J16" s="48"/>
      <c r="K16" s="48"/>
      <c r="L16" s="48"/>
    </row>
    <row r="18" spans="4:11" x14ac:dyDescent="0.3">
      <c r="E18" s="39" t="s">
        <v>156</v>
      </c>
      <c r="F18" s="39"/>
      <c r="G18" s="39"/>
      <c r="H18" s="39"/>
      <c r="I18" s="40" t="s">
        <v>157</v>
      </c>
      <c r="J18" s="41"/>
      <c r="K18" s="41"/>
    </row>
    <row r="19" spans="4:11" x14ac:dyDescent="0.3">
      <c r="D19" s="42" t="s">
        <v>158</v>
      </c>
      <c r="E19" s="42" t="s">
        <v>159</v>
      </c>
      <c r="F19" s="42" t="s">
        <v>160</v>
      </c>
      <c r="G19" s="42" t="s">
        <v>161</v>
      </c>
      <c r="H19" s="42" t="s">
        <v>162</v>
      </c>
      <c r="I19" s="43" t="s">
        <v>39</v>
      </c>
      <c r="J19" s="43" t="s">
        <v>163</v>
      </c>
      <c r="K19" s="43">
        <f>SUMPRODUCT(E20:H23,E27:H30)</f>
        <v>38</v>
      </c>
    </row>
    <row r="20" spans="4:11" x14ac:dyDescent="0.3">
      <c r="D20" s="42" t="s">
        <v>164</v>
      </c>
      <c r="E20" s="44">
        <v>22</v>
      </c>
      <c r="F20" s="44">
        <v>15</v>
      </c>
      <c r="G20" s="44">
        <v>10</v>
      </c>
      <c r="H20" s="44">
        <v>18</v>
      </c>
    </row>
    <row r="21" spans="4:11" x14ac:dyDescent="0.3">
      <c r="D21" s="42" t="s">
        <v>165</v>
      </c>
      <c r="E21" s="44">
        <v>8</v>
      </c>
      <c r="F21" s="44">
        <v>20</v>
      </c>
      <c r="G21" s="44">
        <v>25</v>
      </c>
      <c r="H21" s="44">
        <v>12</v>
      </c>
    </row>
    <row r="22" spans="4:11" x14ac:dyDescent="0.3">
      <c r="D22" s="42" t="s">
        <v>166</v>
      </c>
      <c r="E22" s="44">
        <v>15</v>
      </c>
      <c r="F22" s="44">
        <v>12</v>
      </c>
      <c r="G22" s="44">
        <v>5</v>
      </c>
      <c r="H22" s="44">
        <v>17</v>
      </c>
    </row>
    <row r="23" spans="4:11" x14ac:dyDescent="0.3">
      <c r="D23" s="42" t="s">
        <v>167</v>
      </c>
      <c r="E23" s="44">
        <v>9</v>
      </c>
      <c r="F23" s="44">
        <v>13</v>
      </c>
      <c r="G23" s="44">
        <v>8</v>
      </c>
      <c r="H23" s="44">
        <v>10</v>
      </c>
    </row>
    <row r="25" spans="4:11" x14ac:dyDescent="0.3">
      <c r="E25" s="39" t="s">
        <v>156</v>
      </c>
      <c r="F25" s="39"/>
      <c r="G25" s="39"/>
      <c r="H25" s="39"/>
    </row>
    <row r="26" spans="4:11" x14ac:dyDescent="0.3">
      <c r="D26" s="42" t="s">
        <v>158</v>
      </c>
      <c r="E26" s="42" t="s">
        <v>159</v>
      </c>
      <c r="F26" s="42" t="s">
        <v>160</v>
      </c>
      <c r="G26" s="42" t="s">
        <v>161</v>
      </c>
      <c r="H26" s="42" t="s">
        <v>162</v>
      </c>
    </row>
    <row r="27" spans="4:11" x14ac:dyDescent="0.3">
      <c r="D27" s="42" t="s">
        <v>164</v>
      </c>
      <c r="E27" s="44">
        <v>0</v>
      </c>
      <c r="F27" s="44">
        <v>1</v>
      </c>
      <c r="G27" s="44">
        <v>0</v>
      </c>
      <c r="H27" s="55">
        <v>0</v>
      </c>
      <c r="I27" s="43">
        <f>SUM(E27+F27+G27+H27)</f>
        <v>1</v>
      </c>
      <c r="J27" s="43" t="s">
        <v>163</v>
      </c>
      <c r="K27" s="43">
        <v>1</v>
      </c>
    </row>
    <row r="28" spans="4:11" x14ac:dyDescent="0.3">
      <c r="D28" s="42" t="s">
        <v>165</v>
      </c>
      <c r="E28" s="44">
        <v>1</v>
      </c>
      <c r="F28" s="44">
        <v>0</v>
      </c>
      <c r="G28" s="44">
        <v>0</v>
      </c>
      <c r="H28" s="55">
        <v>0</v>
      </c>
      <c r="I28" s="43">
        <f t="shared" ref="I28:I30" si="0">SUM(E28+F28+G28+H28)</f>
        <v>1</v>
      </c>
      <c r="J28" s="43" t="s">
        <v>163</v>
      </c>
      <c r="K28" s="43">
        <v>1</v>
      </c>
    </row>
    <row r="29" spans="4:11" x14ac:dyDescent="0.3">
      <c r="D29" s="42" t="s">
        <v>166</v>
      </c>
      <c r="E29" s="44">
        <v>0</v>
      </c>
      <c r="F29" s="44">
        <v>0</v>
      </c>
      <c r="G29" s="44">
        <v>1</v>
      </c>
      <c r="H29" s="55">
        <v>0</v>
      </c>
      <c r="I29" s="43">
        <f t="shared" si="0"/>
        <v>1</v>
      </c>
      <c r="J29" s="43" t="s">
        <v>163</v>
      </c>
      <c r="K29" s="43">
        <v>1</v>
      </c>
    </row>
    <row r="30" spans="4:11" x14ac:dyDescent="0.3">
      <c r="D30" s="42" t="s">
        <v>167</v>
      </c>
      <c r="E30" s="44">
        <v>0</v>
      </c>
      <c r="F30" s="44">
        <v>0</v>
      </c>
      <c r="G30" s="44">
        <v>0</v>
      </c>
      <c r="H30" s="55">
        <v>1</v>
      </c>
      <c r="I30" s="43">
        <f t="shared" si="0"/>
        <v>1</v>
      </c>
      <c r="J30" s="43" t="s">
        <v>163</v>
      </c>
      <c r="K30" s="43">
        <v>1</v>
      </c>
    </row>
    <row r="31" spans="4:11" x14ac:dyDescent="0.3">
      <c r="E31" s="43">
        <f>SUM(E27+E28+E29+E30)</f>
        <v>1</v>
      </c>
      <c r="F31" s="43">
        <f t="shared" ref="F31:H31" si="1">SUM(F27+F28+F29+F30)</f>
        <v>1</v>
      </c>
      <c r="G31" s="43">
        <f t="shared" si="1"/>
        <v>1</v>
      </c>
      <c r="H31" s="43">
        <f t="shared" si="1"/>
        <v>1</v>
      </c>
    </row>
    <row r="32" spans="4:11" x14ac:dyDescent="0.3">
      <c r="E32" s="43" t="s">
        <v>163</v>
      </c>
      <c r="F32" s="43" t="s">
        <v>163</v>
      </c>
      <c r="G32" s="43" t="s">
        <v>163</v>
      </c>
      <c r="H32" s="43" t="s">
        <v>163</v>
      </c>
    </row>
    <row r="33" spans="5:8" x14ac:dyDescent="0.3">
      <c r="E33" s="43">
        <v>1</v>
      </c>
      <c r="F33" s="43">
        <v>1</v>
      </c>
      <c r="G33" s="43">
        <v>1</v>
      </c>
      <c r="H33" s="43">
        <v>1</v>
      </c>
    </row>
  </sheetData>
  <mergeCells count="4">
    <mergeCell ref="B1:E1"/>
    <mergeCell ref="G8:J8"/>
    <mergeCell ref="E18:H18"/>
    <mergeCell ref="E25:H2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2C4B8-DF5E-42E6-BA28-65E6C194B745}">
  <dimension ref="B2:I17"/>
  <sheetViews>
    <sheetView workbookViewId="0">
      <selection activeCell="F13" sqref="F13"/>
    </sheetView>
  </sheetViews>
  <sheetFormatPr defaultRowHeight="14.4" x14ac:dyDescent="0.3"/>
  <sheetData>
    <row r="2" spans="2:9" x14ac:dyDescent="0.3">
      <c r="B2" s="50" t="s">
        <v>156</v>
      </c>
      <c r="C2" s="51"/>
      <c r="D2" s="51"/>
      <c r="E2" s="51"/>
      <c r="F2" s="52"/>
      <c r="G2" s="53" t="s">
        <v>157</v>
      </c>
      <c r="H2" s="41"/>
      <c r="I2" s="41"/>
    </row>
    <row r="3" spans="2:9" x14ac:dyDescent="0.3">
      <c r="B3" s="54" t="s">
        <v>185</v>
      </c>
      <c r="C3" s="54" t="s">
        <v>186</v>
      </c>
      <c r="D3" s="54" t="s">
        <v>187</v>
      </c>
      <c r="E3" s="54" t="s">
        <v>188</v>
      </c>
      <c r="F3" s="54" t="s">
        <v>189</v>
      </c>
      <c r="G3" s="43" t="s">
        <v>39</v>
      </c>
      <c r="H3" s="43" t="s">
        <v>163</v>
      </c>
      <c r="I3" s="43">
        <f>SUMPRODUCT(C4:F7,C11:F14)</f>
        <v>0</v>
      </c>
    </row>
    <row r="4" spans="2:9" x14ac:dyDescent="0.3">
      <c r="B4" s="54" t="s">
        <v>190</v>
      </c>
      <c r="C4" s="44">
        <v>20</v>
      </c>
      <c r="D4" s="44">
        <v>18</v>
      </c>
      <c r="E4" s="44">
        <v>15</v>
      </c>
      <c r="F4" s="44">
        <v>75</v>
      </c>
      <c r="G4" s="41"/>
      <c r="H4" s="41"/>
      <c r="I4" s="41"/>
    </row>
    <row r="5" spans="2:9" x14ac:dyDescent="0.3">
      <c r="B5" s="54" t="s">
        <v>191</v>
      </c>
      <c r="C5" s="44">
        <v>32</v>
      </c>
      <c r="D5" s="44">
        <v>48</v>
      </c>
      <c r="E5" s="44">
        <v>23</v>
      </c>
      <c r="F5" s="44">
        <v>38</v>
      </c>
      <c r="G5" s="41"/>
      <c r="H5" s="41"/>
      <c r="I5" s="41"/>
    </row>
    <row r="6" spans="2:9" x14ac:dyDescent="0.3">
      <c r="B6" s="54" t="s">
        <v>192</v>
      </c>
      <c r="C6" s="44">
        <v>51</v>
      </c>
      <c r="D6" s="44">
        <v>36</v>
      </c>
      <c r="E6" s="44">
        <v>24</v>
      </c>
      <c r="F6" s="44">
        <v>36</v>
      </c>
      <c r="G6" s="41"/>
      <c r="H6" s="41"/>
      <c r="I6" s="41"/>
    </row>
    <row r="7" spans="2:9" x14ac:dyDescent="0.3">
      <c r="B7" s="54" t="s">
        <v>193</v>
      </c>
      <c r="C7" s="44">
        <v>25</v>
      </c>
      <c r="D7" s="44">
        <v>38</v>
      </c>
      <c r="E7" s="44">
        <v>55</v>
      </c>
      <c r="F7" s="44">
        <v>12</v>
      </c>
      <c r="G7" s="41"/>
      <c r="H7" s="41"/>
      <c r="I7" s="41"/>
    </row>
    <row r="8" spans="2:9" x14ac:dyDescent="0.3">
      <c r="B8" s="41"/>
      <c r="C8" s="41"/>
      <c r="D8" s="41"/>
      <c r="E8" s="41"/>
      <c r="F8" s="41"/>
      <c r="G8" s="41"/>
      <c r="H8" s="41"/>
      <c r="I8" s="41"/>
    </row>
    <row r="9" spans="2:9" x14ac:dyDescent="0.3">
      <c r="B9" s="50" t="s">
        <v>156</v>
      </c>
      <c r="C9" s="51"/>
      <c r="D9" s="51"/>
      <c r="E9" s="51"/>
      <c r="F9" s="52"/>
      <c r="G9" s="41"/>
      <c r="H9" s="41"/>
      <c r="I9" s="41"/>
    </row>
    <row r="10" spans="2:9" x14ac:dyDescent="0.3">
      <c r="B10" s="54" t="s">
        <v>185</v>
      </c>
      <c r="C10" s="54" t="s">
        <v>186</v>
      </c>
      <c r="D10" s="54" t="s">
        <v>187</v>
      </c>
      <c r="E10" s="54" t="s">
        <v>188</v>
      </c>
      <c r="F10" s="54" t="s">
        <v>189</v>
      </c>
      <c r="G10" s="41"/>
      <c r="H10" s="41"/>
      <c r="I10" s="41"/>
    </row>
    <row r="11" spans="2:9" x14ac:dyDescent="0.3">
      <c r="B11" s="54" t="s">
        <v>190</v>
      </c>
      <c r="C11" s="44">
        <v>0</v>
      </c>
      <c r="D11" s="44">
        <v>0</v>
      </c>
      <c r="E11" s="44">
        <v>0</v>
      </c>
      <c r="F11" s="44">
        <v>0</v>
      </c>
      <c r="G11" s="43">
        <f>SUM(C11:F11)</f>
        <v>0</v>
      </c>
      <c r="H11" s="43" t="s">
        <v>163</v>
      </c>
      <c r="I11" s="43">
        <v>1</v>
      </c>
    </row>
    <row r="12" spans="2:9" x14ac:dyDescent="0.3">
      <c r="B12" s="54" t="s">
        <v>191</v>
      </c>
      <c r="C12" s="44">
        <v>0</v>
      </c>
      <c r="D12" s="44">
        <v>0</v>
      </c>
      <c r="E12" s="44">
        <v>0</v>
      </c>
      <c r="F12" s="44">
        <v>0</v>
      </c>
      <c r="G12" s="43">
        <f t="shared" ref="G12:G14" si="0">SUM(C12:F12)</f>
        <v>0</v>
      </c>
      <c r="H12" s="43" t="s">
        <v>163</v>
      </c>
      <c r="I12" s="43">
        <v>1</v>
      </c>
    </row>
    <row r="13" spans="2:9" x14ac:dyDescent="0.3">
      <c r="B13" s="54" t="s">
        <v>192</v>
      </c>
      <c r="C13" s="44">
        <v>0</v>
      </c>
      <c r="D13" s="44">
        <v>0</v>
      </c>
      <c r="E13" s="44">
        <v>0</v>
      </c>
      <c r="F13" s="44">
        <v>0</v>
      </c>
      <c r="G13" s="43">
        <f t="shared" si="0"/>
        <v>0</v>
      </c>
      <c r="H13" s="43" t="s">
        <v>163</v>
      </c>
      <c r="I13" s="43">
        <v>1</v>
      </c>
    </row>
    <row r="14" spans="2:9" x14ac:dyDescent="0.3">
      <c r="B14" s="54" t="s">
        <v>193</v>
      </c>
      <c r="C14" s="44">
        <v>0</v>
      </c>
      <c r="D14" s="44">
        <v>0</v>
      </c>
      <c r="E14" s="44">
        <v>0</v>
      </c>
      <c r="F14" s="44">
        <v>0</v>
      </c>
      <c r="G14" s="43">
        <f t="shared" si="0"/>
        <v>0</v>
      </c>
      <c r="H14" s="43" t="s">
        <v>163</v>
      </c>
      <c r="I14" s="43">
        <v>1</v>
      </c>
    </row>
    <row r="15" spans="2:9" x14ac:dyDescent="0.3">
      <c r="B15" s="41"/>
      <c r="C15" s="43">
        <f>SUM(C11:C14)</f>
        <v>0</v>
      </c>
      <c r="D15" s="43">
        <f t="shared" ref="D15:F15" si="1">SUM(D11:D14)</f>
        <v>0</v>
      </c>
      <c r="E15" s="43">
        <f t="shared" si="1"/>
        <v>0</v>
      </c>
      <c r="F15" s="43">
        <f>SUM(F11:F14)</f>
        <v>0</v>
      </c>
      <c r="G15" s="41"/>
      <c r="H15" s="41"/>
      <c r="I15" s="41"/>
    </row>
    <row r="16" spans="2:9" x14ac:dyDescent="0.3">
      <c r="B16" s="41"/>
      <c r="C16" s="43" t="s">
        <v>163</v>
      </c>
      <c r="D16" s="43" t="s">
        <v>163</v>
      </c>
      <c r="E16" s="43" t="s">
        <v>163</v>
      </c>
      <c r="F16" s="43" t="s">
        <v>163</v>
      </c>
      <c r="G16" s="41"/>
      <c r="H16" s="41"/>
      <c r="I16" s="41"/>
    </row>
    <row r="17" spans="2:9" x14ac:dyDescent="0.3">
      <c r="B17" s="41"/>
      <c r="C17" s="43">
        <v>1</v>
      </c>
      <c r="D17" s="43">
        <v>1</v>
      </c>
      <c r="E17" s="43">
        <v>1</v>
      </c>
      <c r="F17" s="43">
        <v>1</v>
      </c>
      <c r="G17" s="41"/>
      <c r="H17" s="41"/>
      <c r="I17" s="41"/>
    </row>
  </sheetData>
  <mergeCells count="2">
    <mergeCell ref="B2:F2"/>
    <mergeCell ref="B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Ans EX.2 P1</vt:lpstr>
      <vt:lpstr>EX.2 P1</vt:lpstr>
      <vt:lpstr>Ans EX.2 P2</vt:lpstr>
      <vt:lpstr>EX.2 P2</vt:lpstr>
      <vt:lpstr>EX.2 P3</vt:lpstr>
      <vt:lpstr>Ans EX.3 P1</vt:lpstr>
      <vt:lpstr>EX.3 P1</vt:lpstr>
      <vt:lpstr>Answer Report 1</vt:lpstr>
      <vt:lpstr>EX.3 P2</vt:lpstr>
      <vt:lpstr>EX.3 P3</vt:lpstr>
      <vt:lpstr>Answer Report 2</vt:lpstr>
      <vt:lpstr>Sensitivity Report 1</vt:lpstr>
      <vt:lpstr>Sheet15</vt:lpstr>
      <vt:lpstr>Sheet21</vt:lpstr>
      <vt:lpstr>'EX.2 P1'!Print_Area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aryannlodha@gmail.com</dc:creator>
  <cp:lastModifiedBy>aryannlodha@gmail.com</cp:lastModifiedBy>
  <dcterms:created xsi:type="dcterms:W3CDTF">2026-06-10T04:35:57Z</dcterms:created>
  <dcterms:modified xsi:type="dcterms:W3CDTF">2026-06-21T13:19:50Z</dcterms:modified>
</cp:coreProperties>
</file>