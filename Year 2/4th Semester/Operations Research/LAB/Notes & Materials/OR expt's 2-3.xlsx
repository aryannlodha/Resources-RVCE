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n\Desktop\Classroom\4th Semester\Operations Research\"/>
    </mc:Choice>
  </mc:AlternateContent>
  <xr:revisionPtr revIDLastSave="0" documentId="13_ncr:1_{4BAB948E-FF3A-4103-B462-85B3532CF891}" xr6:coauthVersionLast="47" xr6:coauthVersionMax="47" xr10:uidLastSave="{00000000-0000-0000-0000-000000000000}"/>
  <bookViews>
    <workbookView xWindow="-108" yWindow="-108" windowWidth="23256" windowHeight="12456" firstSheet="6" activeTab="11" xr2:uid="{9CF84A7E-0B33-417E-B188-7C621B516E89}"/>
  </bookViews>
  <sheets>
    <sheet name="Answer Report EX-2, P1" sheetId="11" r:id="rId1"/>
    <sheet name="EX-2 P1" sheetId="1" r:id="rId2"/>
    <sheet name="Answer Report EX-2 P2" sheetId="12" r:id="rId3"/>
    <sheet name="EX-2 P2" sheetId="3" r:id="rId4"/>
    <sheet name="Answer Report EX-2 P3" sheetId="13" r:id="rId5"/>
    <sheet name="EX-2 P3" sheetId="5" r:id="rId6"/>
    <sheet name="Answer Report EX-3 P1" sheetId="18" r:id="rId7"/>
    <sheet name="EX-3 P1" sheetId="8" r:id="rId8"/>
    <sheet name="Answer Report EX-3 P2" sheetId="15" r:id="rId9"/>
    <sheet name="EX-3 P2" sheetId="10" r:id="rId10"/>
    <sheet name="Answer Report EX-3 P3" sheetId="17" r:id="rId11"/>
    <sheet name="EX-3 P3" sheetId="16" r:id="rId12"/>
  </sheets>
  <definedNames>
    <definedName name="_xlnm.Print_Area" localSheetId="2">'Answer Report EX-2 P2'!$A$1:$J$34</definedName>
    <definedName name="_xlnm.Print_Area" localSheetId="4">'Answer Report EX-2 P3'!$A$1:$H$39</definedName>
    <definedName name="_xlnm.Print_Area" localSheetId="0">'Answer Report EX-2, P1'!$A$1:$K$33</definedName>
    <definedName name="_xlnm.Print_Area" localSheetId="6">'Answer Report EX-3 P1'!$A$1:$J$33</definedName>
    <definedName name="_xlnm.Print_Area" localSheetId="8">'Answer Report EX-3 P2'!$A$1:$H$50</definedName>
    <definedName name="_xlnm.Print_Area" localSheetId="10">'Answer Report EX-3 P3'!$A$1:$J$44</definedName>
    <definedName name="_xlnm.Print_Area" localSheetId="1">'EX-2 P1'!$A$1:$H$12</definedName>
    <definedName name="_xlnm.Print_Area" localSheetId="3">'EX-2 P2'!$A$1:$I$11</definedName>
    <definedName name="_xlnm.Print_Area" localSheetId="5">'EX-2 P3'!$A$1:$K$12</definedName>
    <definedName name="_xlnm.Print_Area" localSheetId="7">'EX-3 P1'!$A$1:$H$12</definedName>
    <definedName name="_xlnm.Print_Area" localSheetId="9">'EX-3 P2'!$A$1:$M$23</definedName>
    <definedName name="_xlnm.Print_Area" localSheetId="11">'EX-3 P3'!$A$1:$L$15</definedName>
    <definedName name="solver_adj" localSheetId="1" hidden="1">'EX-2 P1'!$F$10:$G$10</definedName>
    <definedName name="solver_adj" localSheetId="3" hidden="1">'EX-2 P2'!$F$10:$H$10</definedName>
    <definedName name="solver_adj" localSheetId="5" hidden="1">'EX-2 P3'!$C$11:$G$11</definedName>
    <definedName name="solver_adj" localSheetId="7" hidden="1">'EX-3 P1'!$F$11:$G$11</definedName>
    <definedName name="solver_adj" localSheetId="9" hidden="1">'EX-3 P2'!$C$22:$I$22</definedName>
    <definedName name="solver_adj" localSheetId="11" hidden="1">'EX-3 P3'!$F$14:$K$14</definedName>
    <definedName name="solver_cvg" localSheetId="1" hidden="1">0.0001</definedName>
    <definedName name="solver_cvg" localSheetId="3" hidden="1">0.0001</definedName>
    <definedName name="solver_cvg" localSheetId="5" hidden="1">0.0001</definedName>
    <definedName name="solver_cvg" localSheetId="7" hidden="1">0.0001</definedName>
    <definedName name="solver_cvg" localSheetId="9" hidden="1">0.0001</definedName>
    <definedName name="solver_cvg" localSheetId="11" hidden="1">0.0001</definedName>
    <definedName name="solver_drv" localSheetId="1" hidden="1">2</definedName>
    <definedName name="solver_drv" localSheetId="3" hidden="1">1</definedName>
    <definedName name="solver_drv" localSheetId="5" hidden="1">1</definedName>
    <definedName name="solver_drv" localSheetId="7" hidden="1">1</definedName>
    <definedName name="solver_drv" localSheetId="9" hidden="1">1</definedName>
    <definedName name="solver_drv" localSheetId="11" hidden="1">2</definedName>
    <definedName name="solver_eng" localSheetId="1" hidden="1">2</definedName>
    <definedName name="solver_eng" localSheetId="3" hidden="1">2</definedName>
    <definedName name="solver_eng" localSheetId="5" hidden="1">2</definedName>
    <definedName name="solver_eng" localSheetId="7" hidden="1">2</definedName>
    <definedName name="solver_eng" localSheetId="9" hidden="1">2</definedName>
    <definedName name="solver_eng" localSheetId="11" hidden="1">2</definedName>
    <definedName name="solver_est" localSheetId="1" hidden="1">1</definedName>
    <definedName name="solver_est" localSheetId="3" hidden="1">1</definedName>
    <definedName name="solver_est" localSheetId="5" hidden="1">1</definedName>
    <definedName name="solver_est" localSheetId="7" hidden="1">1</definedName>
    <definedName name="solver_est" localSheetId="9" hidden="1">1</definedName>
    <definedName name="solver_est" localSheetId="11" hidden="1">1</definedName>
    <definedName name="solver_itr" localSheetId="1" hidden="1">2147483647</definedName>
    <definedName name="solver_itr" localSheetId="3" hidden="1">2147483647</definedName>
    <definedName name="solver_itr" localSheetId="5" hidden="1">2147483647</definedName>
    <definedName name="solver_itr" localSheetId="7" hidden="1">2147483647</definedName>
    <definedName name="solver_itr" localSheetId="9" hidden="1">2147483647</definedName>
    <definedName name="solver_itr" localSheetId="11" hidden="1">2147483647</definedName>
    <definedName name="solver_lhs1" localSheetId="1" hidden="1">'EX-2 P1'!$E$4:$E$6</definedName>
    <definedName name="solver_lhs1" localSheetId="3" hidden="1">'EX-2 P2'!$F$10:$H$10</definedName>
    <definedName name="solver_lhs1" localSheetId="5" hidden="1">'EX-2 P3'!$C$11:$G$11</definedName>
    <definedName name="solver_lhs1" localSheetId="7" hidden="1">'EX-3 P1'!$E$4</definedName>
    <definedName name="solver_lhs1" localSheetId="9" hidden="1">'EX-3 P2'!$C$22:$I$22</definedName>
    <definedName name="solver_lhs1" localSheetId="11" hidden="1">'EX-3 P3'!$F$14:$K$14</definedName>
    <definedName name="solver_lhs2" localSheetId="1" hidden="1">'EX-2 P1'!$F$10:$G$10</definedName>
    <definedName name="solver_lhs2" localSheetId="3" hidden="1">'EX-2 P2'!$F$4:$F$6</definedName>
    <definedName name="solver_lhs2" localSheetId="5" hidden="1">'EX-2 P3'!$H$4</definedName>
    <definedName name="solver_lhs2" localSheetId="7" hidden="1">'EX-3 P1'!$E$5</definedName>
    <definedName name="solver_lhs2" localSheetId="9" hidden="1">'EX-3 P2'!$J$12:$J$18</definedName>
    <definedName name="solver_lhs2" localSheetId="11" hidden="1">'EX-3 P3'!$I$4:$I$6</definedName>
    <definedName name="solver_lhs3" localSheetId="5" hidden="1">'EX-2 P3'!$H$5</definedName>
    <definedName name="solver_lhs3" localSheetId="7" hidden="1">'EX-3 P1'!$E$6</definedName>
    <definedName name="solver_lhs3" localSheetId="9" hidden="1">'EX-3 P2'!$J$4:$J$10</definedName>
    <definedName name="solver_lhs3" localSheetId="11" hidden="1">'EX-3 P3'!$I$7:$I$10</definedName>
    <definedName name="solver_lhs4" localSheetId="5" hidden="1">'EX-2 P3'!$H$6</definedName>
    <definedName name="solver_lhs4" localSheetId="7" hidden="1">'EX-3 P1'!$E$7</definedName>
    <definedName name="solver_lhs5" localSheetId="5" hidden="1">'EX-2 P3'!$H$7</definedName>
    <definedName name="solver_lhs5" localSheetId="7" hidden="1">'EX-3 P1'!$F$11:$G$11</definedName>
    <definedName name="solver_mip" localSheetId="1" hidden="1">2147483647</definedName>
    <definedName name="solver_mip" localSheetId="3" hidden="1">2147483647</definedName>
    <definedName name="solver_mip" localSheetId="5" hidden="1">2147483647</definedName>
    <definedName name="solver_mip" localSheetId="7" hidden="1">2147483647</definedName>
    <definedName name="solver_mip" localSheetId="9" hidden="1">2147483647</definedName>
    <definedName name="solver_mip" localSheetId="11" hidden="1">2147483647</definedName>
    <definedName name="solver_mni" localSheetId="1" hidden="1">30</definedName>
    <definedName name="solver_mni" localSheetId="3" hidden="1">30</definedName>
    <definedName name="solver_mni" localSheetId="5" hidden="1">30</definedName>
    <definedName name="solver_mni" localSheetId="7" hidden="1">30</definedName>
    <definedName name="solver_mni" localSheetId="9" hidden="1">30</definedName>
    <definedName name="solver_mni" localSheetId="11" hidden="1">30</definedName>
    <definedName name="solver_mrt" localSheetId="1" hidden="1">0.075</definedName>
    <definedName name="solver_mrt" localSheetId="3" hidden="1">0.075</definedName>
    <definedName name="solver_mrt" localSheetId="5" hidden="1">0.075</definedName>
    <definedName name="solver_mrt" localSheetId="7" hidden="1">0.075</definedName>
    <definedName name="solver_mrt" localSheetId="9" hidden="1">0.075</definedName>
    <definedName name="solver_mrt" localSheetId="11" hidden="1">0.075</definedName>
    <definedName name="solver_msl" localSheetId="1" hidden="1">2</definedName>
    <definedName name="solver_msl" localSheetId="3" hidden="1">2</definedName>
    <definedName name="solver_msl" localSheetId="5" hidden="1">2</definedName>
    <definedName name="solver_msl" localSheetId="7" hidden="1">2</definedName>
    <definedName name="solver_msl" localSheetId="9" hidden="1">2</definedName>
    <definedName name="solver_msl" localSheetId="11" hidden="1">2</definedName>
    <definedName name="solver_neg" localSheetId="1" hidden="1">1</definedName>
    <definedName name="solver_neg" localSheetId="3" hidden="1">1</definedName>
    <definedName name="solver_neg" localSheetId="5" hidden="1">1</definedName>
    <definedName name="solver_neg" localSheetId="7" hidden="1">1</definedName>
    <definedName name="solver_neg" localSheetId="9" hidden="1">1</definedName>
    <definedName name="solver_neg" localSheetId="11" hidden="1">1</definedName>
    <definedName name="solver_nod" localSheetId="1" hidden="1">2147483647</definedName>
    <definedName name="solver_nod" localSheetId="3" hidden="1">2147483647</definedName>
    <definedName name="solver_nod" localSheetId="5" hidden="1">2147483647</definedName>
    <definedName name="solver_nod" localSheetId="7" hidden="1">2147483647</definedName>
    <definedName name="solver_nod" localSheetId="9" hidden="1">2147483647</definedName>
    <definedName name="solver_nod" localSheetId="11" hidden="1">2147483647</definedName>
    <definedName name="solver_num" localSheetId="1" hidden="1">2</definedName>
    <definedName name="solver_num" localSheetId="3" hidden="1">2</definedName>
    <definedName name="solver_num" localSheetId="5" hidden="1">5</definedName>
    <definedName name="solver_num" localSheetId="7" hidden="1">5</definedName>
    <definedName name="solver_num" localSheetId="9" hidden="1">3</definedName>
    <definedName name="solver_num" localSheetId="11" hidden="1">3</definedName>
    <definedName name="solver_nwt" localSheetId="1" hidden="1">1</definedName>
    <definedName name="solver_nwt" localSheetId="3" hidden="1">1</definedName>
    <definedName name="solver_nwt" localSheetId="5" hidden="1">1</definedName>
    <definedName name="solver_nwt" localSheetId="7" hidden="1">1</definedName>
    <definedName name="solver_nwt" localSheetId="9" hidden="1">1</definedName>
    <definedName name="solver_nwt" localSheetId="11" hidden="1">1</definedName>
    <definedName name="solver_opt" localSheetId="1" hidden="1">'EX-2 P1'!$E$3</definedName>
    <definedName name="solver_opt" localSheetId="3" hidden="1">'EX-2 P2'!$F$3</definedName>
    <definedName name="solver_opt" localSheetId="5" hidden="1">'EX-2 P3'!$H$3</definedName>
    <definedName name="solver_opt" localSheetId="7" hidden="1">'EX-3 P1'!$E$3</definedName>
    <definedName name="solver_opt" localSheetId="9" hidden="1">'EX-3 P2'!$J$3</definedName>
    <definedName name="solver_opt" localSheetId="11" hidden="1">'EX-3 P3'!$I$3</definedName>
    <definedName name="solver_pre" localSheetId="1" hidden="1">0.000001</definedName>
    <definedName name="solver_pre" localSheetId="3" hidden="1">0.000001</definedName>
    <definedName name="solver_pre" localSheetId="5" hidden="1">0.000001</definedName>
    <definedName name="solver_pre" localSheetId="7" hidden="1">0.000001</definedName>
    <definedName name="solver_pre" localSheetId="9" hidden="1">0.000001</definedName>
    <definedName name="solver_pre" localSheetId="11" hidden="1">0.000001</definedName>
    <definedName name="solver_rbv" localSheetId="1" hidden="1">2</definedName>
    <definedName name="solver_rbv" localSheetId="3" hidden="1">1</definedName>
    <definedName name="solver_rbv" localSheetId="5" hidden="1">1</definedName>
    <definedName name="solver_rbv" localSheetId="7" hidden="1">1</definedName>
    <definedName name="solver_rbv" localSheetId="9" hidden="1">1</definedName>
    <definedName name="solver_rbv" localSheetId="11" hidden="1">2</definedName>
    <definedName name="solver_rel1" localSheetId="1" hidden="1">1</definedName>
    <definedName name="solver_rel1" localSheetId="3" hidden="1">3</definedName>
    <definedName name="solver_rel1" localSheetId="5" hidden="1">3</definedName>
    <definedName name="solver_rel1" localSheetId="7" hidden="1">3</definedName>
    <definedName name="solver_rel1" localSheetId="9" hidden="1">3</definedName>
    <definedName name="solver_rel1" localSheetId="11" hidden="1">3</definedName>
    <definedName name="solver_rel2" localSheetId="1" hidden="1">3</definedName>
    <definedName name="solver_rel2" localSheetId="3" hidden="1">1</definedName>
    <definedName name="solver_rel2" localSheetId="5" hidden="1">1</definedName>
    <definedName name="solver_rel2" localSheetId="7" hidden="1">3</definedName>
    <definedName name="solver_rel2" localSheetId="9" hidden="1">1</definedName>
    <definedName name="solver_rel2" localSheetId="11" hidden="1">2</definedName>
    <definedName name="solver_rel3" localSheetId="5" hidden="1">3</definedName>
    <definedName name="solver_rel3" localSheetId="7" hidden="1">1</definedName>
    <definedName name="solver_rel3" localSheetId="9" hidden="1">3</definedName>
    <definedName name="solver_rel3" localSheetId="11" hidden="1">1</definedName>
    <definedName name="solver_rel4" localSheetId="5" hidden="1">1</definedName>
    <definedName name="solver_rel4" localSheetId="7" hidden="1">1</definedName>
    <definedName name="solver_rel5" localSheetId="5" hidden="1">1</definedName>
    <definedName name="solver_rel5" localSheetId="7" hidden="1">3</definedName>
    <definedName name="solver_rhs1" localSheetId="1" hidden="1">'EX-2 P1'!$G$4:$G$6</definedName>
    <definedName name="solver_rhs1" localSheetId="3" hidden="1">0</definedName>
    <definedName name="solver_rhs1" localSheetId="5" hidden="1">0</definedName>
    <definedName name="solver_rhs1" localSheetId="7" hidden="1">'EX-3 P1'!$G$4</definedName>
    <definedName name="solver_rhs1" localSheetId="9" hidden="1">0</definedName>
    <definedName name="solver_rhs1" localSheetId="11" hidden="1">0</definedName>
    <definedName name="solver_rhs2" localSheetId="1" hidden="1">0</definedName>
    <definedName name="solver_rhs2" localSheetId="3" hidden="1">'EX-2 P2'!$H$4:$H$6</definedName>
    <definedName name="solver_rhs2" localSheetId="5" hidden="1">'EX-2 P3'!$J$4</definedName>
    <definedName name="solver_rhs2" localSheetId="7" hidden="1">'EX-3 P1'!$G$5</definedName>
    <definedName name="solver_rhs2" localSheetId="9" hidden="1">'EX-3 P2'!$L$12:$L$18</definedName>
    <definedName name="solver_rhs2" localSheetId="11" hidden="1">'EX-3 P3'!$K$4:$K$6</definedName>
    <definedName name="solver_rhs3" localSheetId="5" hidden="1">'EX-2 P3'!$J$5</definedName>
    <definedName name="solver_rhs3" localSheetId="7" hidden="1">'EX-3 P1'!$G$6</definedName>
    <definedName name="solver_rhs3" localSheetId="9" hidden="1">'EX-3 P2'!$L$4:$L$10</definedName>
    <definedName name="solver_rhs3" localSheetId="11" hidden="1">'EX-3 P3'!$K$7:$K$10</definedName>
    <definedName name="solver_rhs4" localSheetId="5" hidden="1">'EX-2 P3'!$J$6</definedName>
    <definedName name="solver_rhs4" localSheetId="7" hidden="1">'EX-3 P1'!$G$7</definedName>
    <definedName name="solver_rhs5" localSheetId="5" hidden="1">'EX-2 P3'!$J$7</definedName>
    <definedName name="solver_rhs5" localSheetId="7" hidden="1">0</definedName>
    <definedName name="solver_rlx" localSheetId="1" hidden="1">2</definedName>
    <definedName name="solver_rlx" localSheetId="3" hidden="1">2</definedName>
    <definedName name="solver_rlx" localSheetId="5" hidden="1">2</definedName>
    <definedName name="solver_rlx" localSheetId="7" hidden="1">2</definedName>
    <definedName name="solver_rlx" localSheetId="9" hidden="1">2</definedName>
    <definedName name="solver_rlx" localSheetId="11" hidden="1">2</definedName>
    <definedName name="solver_rsd" localSheetId="1" hidden="1">0</definedName>
    <definedName name="solver_rsd" localSheetId="3" hidden="1">0</definedName>
    <definedName name="solver_rsd" localSheetId="5" hidden="1">0</definedName>
    <definedName name="solver_rsd" localSheetId="7" hidden="1">0</definedName>
    <definedName name="solver_rsd" localSheetId="9" hidden="1">0</definedName>
    <definedName name="solver_rsd" localSheetId="11" hidden="1">0</definedName>
    <definedName name="solver_scl" localSheetId="1" hidden="1">2</definedName>
    <definedName name="solver_scl" localSheetId="3" hidden="1">1</definedName>
    <definedName name="solver_scl" localSheetId="5" hidden="1">1</definedName>
    <definedName name="solver_scl" localSheetId="7" hidden="1">1</definedName>
    <definedName name="solver_scl" localSheetId="9" hidden="1">1</definedName>
    <definedName name="solver_scl" localSheetId="11" hidden="1">2</definedName>
    <definedName name="solver_sho" localSheetId="1" hidden="1">2</definedName>
    <definedName name="solver_sho" localSheetId="3" hidden="1">2</definedName>
    <definedName name="solver_sho" localSheetId="5" hidden="1">2</definedName>
    <definedName name="solver_sho" localSheetId="7" hidden="1">2</definedName>
    <definedName name="solver_sho" localSheetId="9" hidden="1">2</definedName>
    <definedName name="solver_sho" localSheetId="11" hidden="1">2</definedName>
    <definedName name="solver_ssz" localSheetId="1" hidden="1">100</definedName>
    <definedName name="solver_ssz" localSheetId="3" hidden="1">100</definedName>
    <definedName name="solver_ssz" localSheetId="5" hidden="1">100</definedName>
    <definedName name="solver_ssz" localSheetId="7" hidden="1">100</definedName>
    <definedName name="solver_ssz" localSheetId="9" hidden="1">100</definedName>
    <definedName name="solver_ssz" localSheetId="11" hidden="1">100</definedName>
    <definedName name="solver_tim" localSheetId="1" hidden="1">2147483647</definedName>
    <definedName name="solver_tim" localSheetId="3" hidden="1">2147483647</definedName>
    <definedName name="solver_tim" localSheetId="5" hidden="1">2147483647</definedName>
    <definedName name="solver_tim" localSheetId="7" hidden="1">2147483647</definedName>
    <definedName name="solver_tim" localSheetId="9" hidden="1">2147483647</definedName>
    <definedName name="solver_tim" localSheetId="11" hidden="1">2147483647</definedName>
    <definedName name="solver_tol" localSheetId="1" hidden="1">0.01</definedName>
    <definedName name="solver_tol" localSheetId="3" hidden="1">0.01</definedName>
    <definedName name="solver_tol" localSheetId="5" hidden="1">0.01</definedName>
    <definedName name="solver_tol" localSheetId="7" hidden="1">0.01</definedName>
    <definedName name="solver_tol" localSheetId="9" hidden="1">0.01</definedName>
    <definedName name="solver_tol" localSheetId="11" hidden="1">0.01</definedName>
    <definedName name="solver_typ" localSheetId="1" hidden="1">1</definedName>
    <definedName name="solver_typ" localSheetId="3" hidden="1">1</definedName>
    <definedName name="solver_typ" localSheetId="5" hidden="1">1</definedName>
    <definedName name="solver_typ" localSheetId="7" hidden="1">2</definedName>
    <definedName name="solver_typ" localSheetId="9" hidden="1">2</definedName>
    <definedName name="solver_typ" localSheetId="11" hidden="1">2</definedName>
    <definedName name="solver_val" localSheetId="1" hidden="1">0</definedName>
    <definedName name="solver_val" localSheetId="3" hidden="1">0</definedName>
    <definedName name="solver_val" localSheetId="5" hidden="1">0</definedName>
    <definedName name="solver_val" localSheetId="7" hidden="1">0</definedName>
    <definedName name="solver_val" localSheetId="9" hidden="1">0</definedName>
    <definedName name="solver_val" localSheetId="11" hidden="1">0</definedName>
    <definedName name="solver_ver" localSheetId="1" hidden="1">3</definedName>
    <definedName name="solver_ver" localSheetId="3" hidden="1">3</definedName>
    <definedName name="solver_ver" localSheetId="5" hidden="1">3</definedName>
    <definedName name="solver_ver" localSheetId="7" hidden="1">3</definedName>
    <definedName name="solver_ver" localSheetId="9" hidden="1">3</definedName>
    <definedName name="solver_ver" localSheetId="11" hidden="1">3</definedName>
  </definedNames>
  <calcPr calcId="191029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6" l="1"/>
  <c r="I9" i="16"/>
  <c r="I8" i="16"/>
  <c r="I7" i="16"/>
  <c r="I6" i="16"/>
  <c r="I5" i="16"/>
  <c r="I4" i="16"/>
  <c r="I3" i="16"/>
  <c r="J18" i="10"/>
  <c r="J17" i="10"/>
  <c r="J16" i="10"/>
  <c r="J15" i="10"/>
  <c r="J14" i="10"/>
  <c r="J13" i="10"/>
  <c r="J12" i="10"/>
  <c r="J10" i="10"/>
  <c r="J9" i="10"/>
  <c r="J8" i="10"/>
  <c r="J7" i="10"/>
  <c r="J6" i="10"/>
  <c r="J5" i="10"/>
  <c r="J4" i="10"/>
  <c r="J3" i="10"/>
  <c r="E7" i="8"/>
  <c r="E6" i="8"/>
  <c r="E5" i="8"/>
  <c r="E4" i="8"/>
  <c r="E3" i="8"/>
  <c r="H7" i="5"/>
  <c r="H6" i="5"/>
  <c r="H5" i="5"/>
  <c r="H4" i="5"/>
  <c r="H3" i="5"/>
  <c r="F6" i="3"/>
  <c r="F5" i="3"/>
  <c r="F4" i="3"/>
  <c r="F3" i="3"/>
  <c r="E6" i="1"/>
  <c r="E5" i="1"/>
  <c r="E4" i="1"/>
  <c r="E3" i="1"/>
</calcChain>
</file>

<file path=xl/sharedStrings.xml><?xml version="1.0" encoding="utf-8"?>
<sst xmlns="http://schemas.openxmlformats.org/spreadsheetml/2006/main" count="640" uniqueCount="227">
  <si>
    <t>DECISION VARIABLE</t>
  </si>
  <si>
    <t>X1</t>
  </si>
  <si>
    <t>X2</t>
  </si>
  <si>
    <t>Z</t>
  </si>
  <si>
    <t>OBJECTIVE FUNCTION</t>
  </si>
  <si>
    <t>BUDGET</t>
  </si>
  <si>
    <t>≤</t>
  </si>
  <si>
    <t>MACHINING TIME</t>
  </si>
  <si>
    <t>ASSEMBLY TIME</t>
  </si>
  <si>
    <t>OUTPUT</t>
  </si>
  <si>
    <t>Microsoft Excel 16.0 Answer Report</t>
  </si>
  <si>
    <t>Result: Solver found a solution.  All Constraints and optimality conditions are satisfied.</t>
  </si>
  <si>
    <t>Solver Engine</t>
  </si>
  <si>
    <t>Engine: Simplex LP</t>
  </si>
  <si>
    <t>Solution Time: 0 Seconds.</t>
  </si>
  <si>
    <t>Iterations: 2 Subproblems: 0</t>
  </si>
  <si>
    <t>Solver Options</t>
  </si>
  <si>
    <t>Max Time Unlimited,  Iterations Unlimited, Precision 0.000001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</si>
  <si>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</si>
  <si>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</si>
  <si>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</si>
  <si>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</si>
  <si>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</si>
  <si>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</si>
  <si>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</si>
  <si>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</si>
  <si>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</si>
  <si>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</si>
  <si>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</si>
  <si>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</si>
  <si>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</si>
  <si>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$E$3</t>
  </si>
  <si>
    <t>OBJECTIVE FUNCTION Z</t>
  </si>
  <si>
    <t>$F$10</t>
  </si>
  <si>
    <t>Contin</t>
  </si>
  <si>
    <t>$G$10</t>
  </si>
  <si>
    <t>$E$4</t>
  </si>
  <si>
    <t>BUDGET Z</t>
  </si>
  <si>
    <t>$E$4&lt;=$G$4</t>
  </si>
  <si>
    <t>Binding</t>
  </si>
  <si>
    <t>$E$5</t>
  </si>
  <si>
    <t>MACHINING TIME Z</t>
  </si>
  <si>
    <t>$E$5&lt;=$G$5</t>
  </si>
  <si>
    <t>Not Binding</t>
  </si>
  <si>
    <t>$E$6</t>
  </si>
  <si>
    <t>ASSEMBLY TIME Z</t>
  </si>
  <si>
    <t>$E$6&lt;=$G$6</t>
  </si>
  <si>
    <t>X3</t>
  </si>
  <si>
    <t>WEAVING</t>
  </si>
  <si>
    <t>PROCCESING</t>
  </si>
  <si>
    <t>PACKAGING</t>
  </si>
  <si>
    <t>Iterations: 1 Subproblems: 0</t>
  </si>
  <si>
    <t>Max Time Unlimited,  Iterations Unlimited, Precision 0.000001, Use Automatic Scaling</t>
  </si>
  <si>
    <t>$F$3</t>
  </si>
  <si>
    <t>$H$10</t>
  </si>
  <si>
    <t>$F$4</t>
  </si>
  <si>
    <t>WEAVING Z</t>
  </si>
  <si>
    <t>$F$4&lt;=$H$4</t>
  </si>
  <si>
    <t>$F$5</t>
  </si>
  <si>
    <t>PROCCESING Z</t>
  </si>
  <si>
    <t>$F$5&lt;=$H$5</t>
  </si>
  <si>
    <t>$F$6</t>
  </si>
  <si>
    <t>PACKAGING Z</t>
  </si>
  <si>
    <t>$F$6&lt;=$H$6</t>
  </si>
  <si>
    <t>X4</t>
  </si>
  <si>
    <t>X5</t>
  </si>
  <si>
    <t>Objective Function</t>
  </si>
  <si>
    <t>Total Funds</t>
  </si>
  <si>
    <t>&lt;=</t>
  </si>
  <si>
    <t>Farm &amp; Commercial loans ≥ 40% of total funds</t>
  </si>
  <si>
    <t>&gt;=</t>
  </si>
  <si>
    <t>Home loans ≥ 50% of (Personal + Car + Home loans)</t>
  </si>
  <si>
    <t>Overall bad-debt ratio ≤ 4%</t>
  </si>
  <si>
    <t>Iterations: 6 Subproblems: 0</t>
  </si>
  <si>
    <t>$H$3</t>
  </si>
  <si>
    <t>Objective Function Z</t>
  </si>
  <si>
    <t>$C$11</t>
  </si>
  <si>
    <t>$D$11</t>
  </si>
  <si>
    <t>$E$11</t>
  </si>
  <si>
    <t>$F$11</t>
  </si>
  <si>
    <t>$G$11</t>
  </si>
  <si>
    <t>$H$4</t>
  </si>
  <si>
    <t>Total Funds Z</t>
  </si>
  <si>
    <t>$H$4&lt;=$J$4</t>
  </si>
  <si>
    <t>$H$5</t>
  </si>
  <si>
    <t>Farm &amp; Commercial loans ≥ 40% of total funds Z</t>
  </si>
  <si>
    <t>$H$5&gt;=$J$5</t>
  </si>
  <si>
    <t>$H$6</t>
  </si>
  <si>
    <t>Home loans ≥ 50% of (Personal + Car + Home loans) Z</t>
  </si>
  <si>
    <t>$H$6&lt;=$J$6</t>
  </si>
  <si>
    <t>$H$7</t>
  </si>
  <si>
    <t>Overall bad-debt ratio ≤ 4% Z</t>
  </si>
  <si>
    <t>$H$7&lt;=$J$7</t>
  </si>
  <si>
    <t>DEMAND</t>
  </si>
  <si>
    <t>TIME</t>
  </si>
  <si>
    <t>Worksheet: [Book1.xlsx]EX-3 P1</t>
  </si>
  <si>
    <t>Objective Cell (Min)</t>
  </si>
  <si>
    <t>DEMAND Z</t>
  </si>
  <si>
    <t>$E$4&gt;=$G$4</t>
  </si>
  <si>
    <t>$E$5&gt;=$G$5</t>
  </si>
  <si>
    <t>TIME Z</t>
  </si>
  <si>
    <t>$E$7</t>
  </si>
  <si>
    <t>$E$7&lt;=$G$7</t>
  </si>
  <si>
    <t>X6</t>
  </si>
  <si>
    <t>X7</t>
  </si>
  <si>
    <t>MINIMUM REQ</t>
  </si>
  <si>
    <t>REQUIREMENT PER DAY FOR 7 DAYS</t>
  </si>
  <si>
    <t>SINGLE DAY CONSTRAINT</t>
  </si>
  <si>
    <t>MAXIMUM DOCTORS WHO CAN WORK FOR 5 DAYS A WEEK</t>
  </si>
  <si>
    <t>Worksheet: [Book1.xlsx]EX-2 P1</t>
  </si>
  <si>
    <t>Report Created: 6/14/2026 2:41:44 PM</t>
  </si>
  <si>
    <t>$F$10&gt;=0</t>
  </si>
  <si>
    <t>$G$10&gt;=0</t>
  </si>
  <si>
    <t>Worksheet: [Book1.xlsx]EX-2 P2</t>
  </si>
  <si>
    <t>Report Created: 6/14/2026 2:43:30 PM</t>
  </si>
  <si>
    <t>Solution Time: 0.016 Seconds.</t>
  </si>
  <si>
    <t>$H$10&gt;=0</t>
  </si>
  <si>
    <t>Worksheet: [Book1.xlsx]EX-2 P3</t>
  </si>
  <si>
    <t>Report Created: 6/14/2026 2:44:31 PM</t>
  </si>
  <si>
    <t>$C$11&gt;=0</t>
  </si>
  <si>
    <t>$D$11&gt;=0</t>
  </si>
  <si>
    <t>$E$11&gt;=0</t>
  </si>
  <si>
    <t>$F$11&gt;=0</t>
  </si>
  <si>
    <t>$G$11&gt;=0</t>
  </si>
  <si>
    <t>Solution Time: 0.015 Seconds.</t>
  </si>
  <si>
    <t>Worksheet: [Book1.xlsx]EX-3 P2</t>
  </si>
  <si>
    <t>Report Created: 6/14/2026 2:48:24 PM</t>
  </si>
  <si>
    <t>Iterations: 15 Subproblems: 0</t>
  </si>
  <si>
    <t>$J$3</t>
  </si>
  <si>
    <t>$C$22</t>
  </si>
  <si>
    <t>$D$22</t>
  </si>
  <si>
    <t>$E$22</t>
  </si>
  <si>
    <t>$F$22</t>
  </si>
  <si>
    <t>$G$22</t>
  </si>
  <si>
    <t>$H$22</t>
  </si>
  <si>
    <t>$I$22</t>
  </si>
  <si>
    <t>$J$12</t>
  </si>
  <si>
    <t>SINGLE DAY CONSTRAINT Z</t>
  </si>
  <si>
    <t>$J$12&lt;=$L$12</t>
  </si>
  <si>
    <t>$J$13</t>
  </si>
  <si>
    <t>MAXIMUM DOCTORS WHO CAN WORK FOR 5 DAYS A WEEK Z</t>
  </si>
  <si>
    <t>$J$13&lt;=$L$13</t>
  </si>
  <si>
    <t>$J$14</t>
  </si>
  <si>
    <t>$J$14&lt;=$L$14</t>
  </si>
  <si>
    <t>$J$15</t>
  </si>
  <si>
    <t>$J$15&lt;=$L$15</t>
  </si>
  <si>
    <t>$J$16</t>
  </si>
  <si>
    <t>$J$16&lt;=$L$16</t>
  </si>
  <si>
    <t>$J$17</t>
  </si>
  <si>
    <t>$J$17&lt;=$L$17</t>
  </si>
  <si>
    <t>$J$18</t>
  </si>
  <si>
    <t>$J$18&lt;=$L$18</t>
  </si>
  <si>
    <t>$J$4</t>
  </si>
  <si>
    <t>MINIMUM REQ Z</t>
  </si>
  <si>
    <t>$J$4&gt;=$L$4</t>
  </si>
  <si>
    <t>$J$5</t>
  </si>
  <si>
    <t>REQUIREMENT PER DAY FOR 7 DAYS Z</t>
  </si>
  <si>
    <t>$J$5&gt;=$L$5</t>
  </si>
  <si>
    <t>$J$6</t>
  </si>
  <si>
    <t>$J$6&gt;=$L$6</t>
  </si>
  <si>
    <t>$J$7</t>
  </si>
  <si>
    <t>$J$7&gt;=$L$7</t>
  </si>
  <si>
    <t>$J$8</t>
  </si>
  <si>
    <t>$J$8&gt;=$L$8</t>
  </si>
  <si>
    <t>$J$9</t>
  </si>
  <si>
    <t>$J$9&gt;=$L$9</t>
  </si>
  <si>
    <t>$J$10</t>
  </si>
  <si>
    <t>$J$10&gt;=$L$10</t>
  </si>
  <si>
    <t>$C$22&gt;=0</t>
  </si>
  <si>
    <t>$D$22&gt;=0</t>
  </si>
  <si>
    <t>$E$22&gt;=0</t>
  </si>
  <si>
    <t>$F$22&gt;=0</t>
  </si>
  <si>
    <t>$G$22&gt;=0</t>
  </si>
  <si>
    <t>$H$22&gt;=0</t>
  </si>
  <si>
    <t>$I$22&gt;=0</t>
  </si>
  <si>
    <t>COMPANY A</t>
  </si>
  <si>
    <t>=</t>
  </si>
  <si>
    <t>COMPANY B</t>
  </si>
  <si>
    <t>COMPANY C</t>
  </si>
  <si>
    <t>Plant 1 Blending</t>
  </si>
  <si>
    <t>Plant 1 Tinting</t>
  </si>
  <si>
    <t>Plant 2 Blending</t>
  </si>
  <si>
    <t>Plant 2 Tinting</t>
  </si>
  <si>
    <t>Worksheet: [Book1.xlsx]Sheet16</t>
  </si>
  <si>
    <t>Report Created: 6/14/2026 2:51:39 PM</t>
  </si>
  <si>
    <t>Iterations: 4 Subproblems: 0</t>
  </si>
  <si>
    <t>$I$3</t>
  </si>
  <si>
    <t>$F$14</t>
  </si>
  <si>
    <t>$G$14</t>
  </si>
  <si>
    <t>$H$14</t>
  </si>
  <si>
    <t>$I$14</t>
  </si>
  <si>
    <t>$K$14</t>
  </si>
  <si>
    <t>$I$4</t>
  </si>
  <si>
    <t>COMPANY A Z</t>
  </si>
  <si>
    <t>$I$4=$K$4</t>
  </si>
  <si>
    <t>$I$5</t>
  </si>
  <si>
    <t>COMPANY B Z</t>
  </si>
  <si>
    <t>$I$5=$K$5</t>
  </si>
  <si>
    <t>$I$6</t>
  </si>
  <si>
    <t>COMPANY C Z</t>
  </si>
  <si>
    <t>$I$6=$K$6</t>
  </si>
  <si>
    <t>$I$7</t>
  </si>
  <si>
    <t>Plant 1 Blending Z</t>
  </si>
  <si>
    <t>$I$7&lt;=$K$7</t>
  </si>
  <si>
    <t>$I$8</t>
  </si>
  <si>
    <t>Plant 1 Tinting Z</t>
  </si>
  <si>
    <t>$I$8&lt;=$K$8</t>
  </si>
  <si>
    <t>$I$9</t>
  </si>
  <si>
    <t>Plant 2 Blending Z</t>
  </si>
  <si>
    <t>$I$9&lt;=$K$9</t>
  </si>
  <si>
    <t>$I$10</t>
  </si>
  <si>
    <t>Plant 2 Tinting Z</t>
  </si>
  <si>
    <t>$I$10&lt;=$K$10</t>
  </si>
  <si>
    <t>$F$14&gt;=0</t>
  </si>
  <si>
    <t>$G$14&gt;=0</t>
  </si>
  <si>
    <t>$H$14&gt;=0</t>
  </si>
  <si>
    <t>$I$14&gt;=0</t>
  </si>
  <si>
    <t>$J$14&gt;=0</t>
  </si>
  <si>
    <t>$K$14&gt;=0</t>
  </si>
  <si>
    <t>Report Created: 6/14/2026 3:18:50 PM</t>
  </si>
  <si>
    <t xml:space="preserve">  </t>
  </si>
  <si>
    <t>: Aryan EX-2 P1.xlsx</t>
  </si>
  <si>
    <t>: Aryan EX-2 P2.xlsx</t>
  </si>
  <si>
    <t>: Aryan EX-2 P3.xlsx</t>
  </si>
  <si>
    <t>: Aryan EX-3 P1.xlsx</t>
  </si>
  <si>
    <t>: Aryan EX-3 P2.xlsx</t>
  </si>
  <si>
    <t>: Aryan EX-3 P3.xlsx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</si>
</sst>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indexed="18"/>
      <name val="Times New Roman"/>
      <family val="1"/>
    </font>
    <font>
      <b/>
      <sz val="12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1"/>
      <scheme val="major"/>
    </font>
    <font>
      <b/>
      <sz val="12"/>
      <color theme="1"/>
      <name val="Calibri"/>
      <family val="2"/>
      <scheme val="minor"/>
    </font>
    <font>
      <b/>
      <sz val="12"/>
      <color rgb="FF000000"/>
      <name val="Calibri Light"/>
      <family val="1"/>
      <scheme val="major"/>
    </font>
    <font>
      <b/>
      <sz val="14"/>
      <color rgb="FF000000"/>
      <name val="Calibri Light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1" fontId="3" fillId="0" borderId="1" xfId="0" applyNumberFormat="1" applyFont="1" applyBorder="1"/>
    <xf numFmtId="1" fontId="3" fillId="0" borderId="0" xfId="0" applyNumberFormat="1" applyFont="1"/>
    <xf numFmtId="0" fontId="5" fillId="0" borderId="0" xfId="0" applyFont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96D8-D885-4AE0-9F63-285C5882D3AA}">
  <sheetPr>
    <tabColor rgb="FF0070C0"/>
  </sheetPr>
  <dimension ref="A1:G31"/>
  <sheetViews>
    <sheetView showGridLines="0" view="pageBreakPreview" zoomScale="90" zoomScaleNormal="59" workbookViewId="0">
      <selection activeCell="C2" sqref="C2"/>
    </sheetView>
  </sheetViews>
  <sheetFormatPr defaultColWidth="8.77734375" defaultRowHeight="13.8" x14ac:dyDescent="0.25"/>
  <cols>
    <col min="1" max="1" width="2.21875" style="2" customWidth="1"/>
    <col min="2" max="2" width="8.77734375" style="2" customWidth="1"/>
    <col min="3" max="3" width="24.5546875" style="2" customWidth="1"/>
    <col min="4" max="4" width="12.44140625" style="2" bestFit="1" customWidth="1"/>
    <col min="5" max="5" width="12.44140625" style="2" customWidth="1"/>
    <col min="6" max="6" width="11.77734375" style="2" customWidth="1"/>
    <col min="7" max="7" width="5" style="2" bestFit="1" customWidth="1"/>
    <col min="8" max="9" width="8.77734375" style="2"/>
    <col min="10" max="10" width="3" style="2" customWidth="1"/>
    <col min="11" max="11" width="2.77734375" style="2" customWidth="1"/>
    <col min="12" max="16384" width="8.77734375" style="2"/>
  </cols>
  <sheetData>
    <row r="1" spans="1:5" x14ac:dyDescent="0.25">
      <c r="A1" s="2" t="s">
        <v>10</v>
      </c>
    </row>
    <row r="2" spans="1:5" x14ac:dyDescent="0.25">
      <c r="A2" s="2" t="s">
        <v>109</v>
      </c>
      <c r="C2" s="2" t="s">
        <v>221</v>
      </c>
    </row>
    <row r="3" spans="1:5" x14ac:dyDescent="0.25">
      <c r="A3" s="2" t="s">
        <v>110</v>
      </c>
    </row>
    <row r="4" spans="1:5" x14ac:dyDescent="0.25">
      <c r="A4" s="2" t="s">
        <v>11</v>
      </c>
    </row>
    <row r="5" spans="1:5" x14ac:dyDescent="0.25">
      <c r="A5" s="2" t="s">
        <v>12</v>
      </c>
    </row>
    <row r="6" spans="1:5" x14ac:dyDescent="0.25">
      <c r="B6" s="2" t="s">
        <v>13</v>
      </c>
    </row>
    <row r="7" spans="1:5" x14ac:dyDescent="0.25">
      <c r="B7" s="2" t="s">
        <v>14</v>
      </c>
    </row>
    <row r="8" spans="1:5" x14ac:dyDescent="0.25">
      <c r="B8" s="2" t="s">
        <v>15</v>
      </c>
    </row>
    <row r="9" spans="1:5" x14ac:dyDescent="0.25">
      <c r="A9" s="2" t="s">
        <v>16</v>
      </c>
    </row>
    <row r="10" spans="1:5" x14ac:dyDescent="0.25">
      <c r="B10" s="2" t="s">
        <v>17</v>
      </c>
    </row>
    <row r="11" spans="1:5" x14ac:dyDescent="0.25">
      <c r="B11" s="2" t="s">
        <v>18</v>
      </c>
    </row>
    <row r="14" spans="1:5" x14ac:dyDescent="0.25">
      <c r="A14" s="2" t="s">
        <v>19</v>
      </c>
    </row>
    <row r="15" spans="1:5" x14ac:dyDescent="0.25">
      <c r="B15" s="3" t="s">
        <v>20</v>
      </c>
      <c r="C15" s="3" t="s">
        <v>21</v>
      </c>
      <c r="D15" s="3" t="s">
        <v>22</v>
      </c>
      <c r="E15" s="3" t="s">
        <v>23</v>
      </c>
    </row>
    <row r="16" spans="1:5" x14ac:dyDescent="0.25">
      <c r="B16" s="20" t="s">
        <v>31</v>
      </c>
      <c r="C16" s="20" t="s">
        <v>32</v>
      </c>
      <c r="D16" s="20">
        <v>8000</v>
      </c>
      <c r="E16" s="20">
        <v>8000</v>
      </c>
    </row>
    <row r="19" spans="1:7" x14ac:dyDescent="0.25">
      <c r="A19" s="2" t="s">
        <v>24</v>
      </c>
    </row>
    <row r="20" spans="1:7" x14ac:dyDescent="0.25"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25</v>
      </c>
    </row>
    <row r="21" spans="1:7" x14ac:dyDescent="0.25">
      <c r="B21" s="20" t="s">
        <v>33</v>
      </c>
      <c r="C21" s="20" t="s">
        <v>1</v>
      </c>
      <c r="D21" s="20">
        <v>400</v>
      </c>
      <c r="E21" s="20">
        <v>400</v>
      </c>
      <c r="F21" s="20" t="s">
        <v>34</v>
      </c>
    </row>
    <row r="22" spans="1:7" x14ac:dyDescent="0.25">
      <c r="B22" s="20" t="s">
        <v>35</v>
      </c>
      <c r="C22" s="20" t="s">
        <v>2</v>
      </c>
      <c r="D22" s="20">
        <v>0</v>
      </c>
      <c r="E22" s="20">
        <v>0</v>
      </c>
      <c r="F22" s="20" t="s">
        <v>34</v>
      </c>
    </row>
    <row r="25" spans="1:7" x14ac:dyDescent="0.25">
      <c r="A25" s="2" t="s">
        <v>26</v>
      </c>
    </row>
    <row r="26" spans="1:7" x14ac:dyDescent="0.25">
      <c r="B26" s="3" t="s">
        <v>20</v>
      </c>
      <c r="C26" s="3" t="s">
        <v>21</v>
      </c>
      <c r="D26" s="3" t="s">
        <v>27</v>
      </c>
      <c r="E26" s="3" t="s">
        <v>28</v>
      </c>
      <c r="F26" s="3" t="s">
        <v>29</v>
      </c>
      <c r="G26" s="3" t="s">
        <v>30</v>
      </c>
    </row>
    <row r="27" spans="1:7" x14ac:dyDescent="0.25">
      <c r="B27" s="20" t="s">
        <v>36</v>
      </c>
      <c r="C27" s="20" t="s">
        <v>37</v>
      </c>
      <c r="D27" s="20">
        <v>4000</v>
      </c>
      <c r="E27" s="20" t="s">
        <v>38</v>
      </c>
      <c r="F27" s="20" t="s">
        <v>39</v>
      </c>
      <c r="G27" s="20">
        <v>0</v>
      </c>
    </row>
    <row r="28" spans="1:7" x14ac:dyDescent="0.25">
      <c r="B28" s="20" t="s">
        <v>40</v>
      </c>
      <c r="C28" s="20" t="s">
        <v>41</v>
      </c>
      <c r="D28" s="20">
        <v>1200</v>
      </c>
      <c r="E28" s="20" t="s">
        <v>42</v>
      </c>
      <c r="F28" s="20" t="s">
        <v>43</v>
      </c>
      <c r="G28" s="20">
        <v>800</v>
      </c>
    </row>
    <row r="29" spans="1:7" x14ac:dyDescent="0.25">
      <c r="B29" s="20" t="s">
        <v>44</v>
      </c>
      <c r="C29" s="20" t="s">
        <v>45</v>
      </c>
      <c r="D29" s="20">
        <v>800</v>
      </c>
      <c r="E29" s="20" t="s">
        <v>46</v>
      </c>
      <c r="F29" s="20" t="s">
        <v>43</v>
      </c>
      <c r="G29" s="20">
        <v>600</v>
      </c>
    </row>
    <row r="30" spans="1:7" x14ac:dyDescent="0.25">
      <c r="B30" s="20" t="s">
        <v>33</v>
      </c>
      <c r="C30" s="20" t="s">
        <v>1</v>
      </c>
      <c r="D30" s="20">
        <v>400</v>
      </c>
      <c r="E30" s="20" t="s">
        <v>111</v>
      </c>
      <c r="F30" s="20" t="s">
        <v>43</v>
      </c>
      <c r="G30" s="20">
        <v>400</v>
      </c>
    </row>
    <row r="31" spans="1:7" x14ac:dyDescent="0.25">
      <c r="B31" s="20" t="s">
        <v>35</v>
      </c>
      <c r="C31" s="20" t="s">
        <v>2</v>
      </c>
      <c r="D31" s="20">
        <v>0</v>
      </c>
      <c r="E31" s="20" t="s">
        <v>112</v>
      </c>
      <c r="F31" s="20" t="s">
        <v>39</v>
      </c>
      <c r="G31" s="20">
        <v>0</v>
      </c>
    </row>
  </sheetData>
  <pageMargins left="0.25" right="0.25" top="0.75" bottom="0.75" header="0.3" footer="0.3"/>
  <pageSetup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C1E1-8382-46EF-88B9-D73B45F7BA53}">
  <sheetPr>
    <tabColor rgb="FF0070C0"/>
  </sheetPr>
  <dimension ref="B2:G10"/>
  <sheetViews>
    <sheetView view="pageBreakPreview" zoomScale="122" zoomScaleNormal="74" workbookViewId="0">
      <selection activeCell="E3" sqref="E3"/>
    </sheetView>
  </sheetViews>
  <sheetFormatPr defaultColWidth="8.77734375" defaultRowHeight="14.4" x14ac:dyDescent="0.3"/>
  <cols>
    <col min="1" max="1" width="8.77734375" style="1"/>
    <col min="2" max="2" width="20.33203125" style="1" bestFit="1" customWidth="1"/>
    <col min="3" max="3" width="24.5546875" style="1" customWidth="1"/>
    <col min="4" max="4" width="9.109375" style="1" customWidth="1"/>
    <col min="5" max="5" width="12.44140625" style="1" customWidth="1"/>
    <col min="6" max="7" width="9.109375" style="1" customWidth="1"/>
    <col min="8" max="16384" width="8.77734375" style="1"/>
  </cols>
  <sheetData>
    <row r="2" spans="2:7" ht="15.6" x14ac:dyDescent="0.3">
      <c r="B2" s="4" t="s">
        <v>0</v>
      </c>
      <c r="C2" s="4" t="s">
        <v>1</v>
      </c>
      <c r="D2" s="4" t="s">
        <v>2</v>
      </c>
      <c r="E2" s="4" t="s">
        <v>3</v>
      </c>
      <c r="F2" s="6"/>
      <c r="G2" s="6"/>
    </row>
    <row r="3" spans="2:7" ht="15.6" x14ac:dyDescent="0.3">
      <c r="B3" s="7" t="s">
        <v>4</v>
      </c>
      <c r="C3" s="7">
        <v>20</v>
      </c>
      <c r="D3" s="7">
        <v>30</v>
      </c>
      <c r="E3" s="7">
        <f>C3*$F$10+D3*$G$10</f>
        <v>8000</v>
      </c>
      <c r="F3" s="6"/>
      <c r="G3" s="6"/>
    </row>
    <row r="4" spans="2:7" ht="15.6" x14ac:dyDescent="0.3">
      <c r="B4" s="7" t="s">
        <v>5</v>
      </c>
      <c r="C4" s="7">
        <v>10</v>
      </c>
      <c r="D4" s="7">
        <v>40</v>
      </c>
      <c r="E4" s="7">
        <f>C4*$F$10+D4*$G$10</f>
        <v>4000</v>
      </c>
      <c r="F4" s="7" t="s">
        <v>6</v>
      </c>
      <c r="G4" s="7">
        <v>4000</v>
      </c>
    </row>
    <row r="5" spans="2:7" ht="15.6" x14ac:dyDescent="0.3">
      <c r="B5" s="7" t="s">
        <v>7</v>
      </c>
      <c r="C5" s="7">
        <v>3</v>
      </c>
      <c r="D5" s="7">
        <v>2</v>
      </c>
      <c r="E5" s="7">
        <f>C5*$F$10+D5*$G$10</f>
        <v>1200</v>
      </c>
      <c r="F5" s="7" t="s">
        <v>6</v>
      </c>
      <c r="G5" s="7">
        <v>2000</v>
      </c>
    </row>
    <row r="6" spans="2:7" ht="15.6" x14ac:dyDescent="0.3">
      <c r="B6" s="7" t="s">
        <v>8</v>
      </c>
      <c r="C6" s="7">
        <v>2</v>
      </c>
      <c r="D6" s="7">
        <v>3</v>
      </c>
      <c r="E6" s="7">
        <f>C6*$F$10+D6*$G$10</f>
        <v>800</v>
      </c>
      <c r="F6" s="7" t="s">
        <v>6</v>
      </c>
      <c r="G6" s="7">
        <v>1400</v>
      </c>
    </row>
    <row r="7" spans="2:7" x14ac:dyDescent="0.3">
      <c r="B7" s="12"/>
      <c r="C7" s="12"/>
      <c r="D7" s="12"/>
      <c r="E7" s="12"/>
      <c r="F7" s="12"/>
      <c r="G7" s="12"/>
    </row>
    <row r="8" spans="2:7" ht="18" x14ac:dyDescent="0.3">
      <c r="B8" s="36"/>
      <c r="C8" s="36"/>
      <c r="D8" s="12"/>
      <c r="E8" s="12"/>
      <c r="F8" s="37" t="s">
        <v>9</v>
      </c>
      <c r="G8" s="37"/>
    </row>
    <row r="9" spans="2:7" ht="18" x14ac:dyDescent="0.3">
      <c r="B9" s="13"/>
      <c r="C9" s="12"/>
      <c r="D9" s="12"/>
      <c r="E9" s="12"/>
      <c r="F9" s="9" t="s">
        <v>1</v>
      </c>
      <c r="G9" s="9" t="s">
        <v>2</v>
      </c>
    </row>
    <row r="10" spans="2:7" ht="18" x14ac:dyDescent="0.35">
      <c r="B10" s="12"/>
      <c r="C10" s="12"/>
      <c r="D10" s="12"/>
      <c r="E10" s="12"/>
      <c r="F10" s="11">
        <v>400</v>
      </c>
      <c r="G10" s="11">
        <v>0</v>
      </c>
    </row>
  </sheetData>
  <mergeCells count="2">
    <mergeCell ref="B8:C8"/>
    <mergeCell ref="F8:G8"/>
  </mergeCells>
  <pageMargins left="0.25" right="0.25" top="0.75" bottom="0.75" header="0.3" footer="0.3"/>
  <pageSetup scale="9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D590-C886-4FAE-95A6-1BDF3F947CDC}">
  <sheetPr>
    <tabColor rgb="FF0070C0"/>
  </sheetPr>
  <dimension ref="A1:G33"/>
  <sheetViews>
    <sheetView showGridLines="0" view="pageBreakPreview" zoomScale="77" zoomScaleNormal="52" zoomScaleSheetLayoutView="77" workbookViewId="0">
      <selection activeCell="C7" sqref="C7"/>
    </sheetView>
  </sheetViews>
  <sheetFormatPr defaultColWidth="8.77734375" defaultRowHeight="13.8" x14ac:dyDescent="0.25"/>
  <cols>
    <col min="1" max="1" width="3.6640625" style="2" customWidth="1"/>
    <col min="2" max="2" width="6.77734375" style="2" customWidth="1"/>
    <col min="3" max="3" width="23.77734375" style="2" customWidth="1"/>
    <col min="4" max="4" width="12.44140625" style="2" bestFit="1" customWidth="1"/>
    <col min="5" max="5" width="12.6640625" style="2" customWidth="1"/>
    <col min="6" max="6" width="12" style="2" customWidth="1"/>
    <col min="7" max="7" width="5" style="2" bestFit="1" customWidth="1"/>
    <col min="8" max="9" width="8.77734375" style="2"/>
    <col min="10" max="10" width="3.88671875" style="2" customWidth="1"/>
    <col min="11" max="16384" width="8.77734375" style="2"/>
  </cols>
  <sheetData>
    <row r="1" spans="1:5" x14ac:dyDescent="0.25">
      <c r="A1" s="2" t="s">
        <v>10</v>
      </c>
    </row>
    <row r="2" spans="1:5" x14ac:dyDescent="0.25">
      <c r="A2" s="2" t="s">
        <v>113</v>
      </c>
      <c r="C2" s="2" t="s">
        <v>222</v>
      </c>
    </row>
    <row r="3" spans="1:5" x14ac:dyDescent="0.25">
      <c r="A3" s="2" t="s">
        <v>114</v>
      </c>
    </row>
    <row r="4" spans="1:5" x14ac:dyDescent="0.25">
      <c r="A4" s="2" t="s">
        <v>11</v>
      </c>
    </row>
    <row r="5" spans="1:5" x14ac:dyDescent="0.25">
      <c r="A5" s="2" t="s">
        <v>12</v>
      </c>
    </row>
    <row r="6" spans="1:5" x14ac:dyDescent="0.25">
      <c r="B6" s="2" t="s">
        <v>13</v>
      </c>
    </row>
    <row r="7" spans="1:5" x14ac:dyDescent="0.25">
      <c r="B7" s="2" t="s">
        <v>115</v>
      </c>
    </row>
    <row r="8" spans="1:5" x14ac:dyDescent="0.25">
      <c r="B8" s="2" t="s">
        <v>51</v>
      </c>
    </row>
    <row r="9" spans="1:5" ht="16.95" customHeight="1" x14ac:dyDescent="0.25">
      <c r="A9" s="2" t="s">
        <v>16</v>
      </c>
    </row>
    <row r="10" spans="1:5" ht="16.95" customHeight="1" x14ac:dyDescent="0.25">
      <c r="B10" s="2" t="s">
        <v>52</v>
      </c>
    </row>
    <row r="11" spans="1:5" x14ac:dyDescent="0.25">
      <c r="B11" s="2" t="s">
        <v>18</v>
      </c>
    </row>
    <row r="14" spans="1:5" x14ac:dyDescent="0.25">
      <c r="A14" s="2" t="s">
        <v>19</v>
      </c>
    </row>
    <row r="15" spans="1:5" x14ac:dyDescent="0.25">
      <c r="B15" s="3" t="s">
        <v>20</v>
      </c>
      <c r="C15" s="3" t="s">
        <v>21</v>
      </c>
      <c r="D15" s="3" t="s">
        <v>22</v>
      </c>
      <c r="E15" s="3" t="s">
        <v>23</v>
      </c>
    </row>
    <row r="16" spans="1:5" x14ac:dyDescent="0.25">
      <c r="B16" s="20" t="s">
        <v>53</v>
      </c>
      <c r="C16" s="20" t="s">
        <v>32</v>
      </c>
      <c r="D16" s="20">
        <v>3600</v>
      </c>
      <c r="E16" s="20">
        <v>3600</v>
      </c>
    </row>
    <row r="19" spans="1:7" x14ac:dyDescent="0.25">
      <c r="A19" s="2" t="s">
        <v>24</v>
      </c>
    </row>
    <row r="20" spans="1:7" x14ac:dyDescent="0.25"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25</v>
      </c>
    </row>
    <row r="21" spans="1:7" x14ac:dyDescent="0.25">
      <c r="B21" s="20" t="s">
        <v>33</v>
      </c>
      <c r="C21" s="20" t="s">
        <v>1</v>
      </c>
      <c r="D21" s="20">
        <v>0</v>
      </c>
      <c r="E21" s="20">
        <v>0</v>
      </c>
      <c r="F21" s="20" t="s">
        <v>34</v>
      </c>
    </row>
    <row r="22" spans="1:7" x14ac:dyDescent="0.25">
      <c r="B22" s="20" t="s">
        <v>35</v>
      </c>
      <c r="C22" s="20" t="s">
        <v>2</v>
      </c>
      <c r="D22" s="20">
        <v>900</v>
      </c>
      <c r="E22" s="20">
        <v>900</v>
      </c>
      <c r="F22" s="20" t="s">
        <v>34</v>
      </c>
    </row>
    <row r="23" spans="1:7" x14ac:dyDescent="0.25">
      <c r="B23" s="20" t="s">
        <v>54</v>
      </c>
      <c r="C23" s="20" t="s">
        <v>47</v>
      </c>
      <c r="D23" s="20">
        <v>0</v>
      </c>
      <c r="E23" s="20">
        <v>0</v>
      </c>
      <c r="F23" s="20" t="s">
        <v>34</v>
      </c>
    </row>
    <row r="26" spans="1:7" x14ac:dyDescent="0.25">
      <c r="A26" s="2" t="s">
        <v>26</v>
      </c>
    </row>
    <row r="27" spans="1:7" x14ac:dyDescent="0.25">
      <c r="B27" s="3" t="s">
        <v>20</v>
      </c>
      <c r="C27" s="3" t="s">
        <v>21</v>
      </c>
      <c r="D27" s="3" t="s">
        <v>27</v>
      </c>
      <c r="E27" s="3" t="s">
        <v>28</v>
      </c>
      <c r="F27" s="3" t="s">
        <v>29</v>
      </c>
      <c r="G27" s="3" t="s">
        <v>30</v>
      </c>
    </row>
    <row r="28" spans="1:7" x14ac:dyDescent="0.25">
      <c r="B28" s="20" t="s">
        <v>55</v>
      </c>
      <c r="C28" s="20" t="s">
        <v>56</v>
      </c>
      <c r="D28" s="20">
        <v>3600</v>
      </c>
      <c r="E28" s="20" t="s">
        <v>57</v>
      </c>
      <c r="F28" s="20" t="s">
        <v>39</v>
      </c>
      <c r="G28" s="20">
        <v>0</v>
      </c>
    </row>
    <row r="29" spans="1:7" x14ac:dyDescent="0.25">
      <c r="B29" s="20" t="s">
        <v>58</v>
      </c>
      <c r="C29" s="20" t="s">
        <v>59</v>
      </c>
      <c r="D29" s="20">
        <v>900</v>
      </c>
      <c r="E29" s="20" t="s">
        <v>60</v>
      </c>
      <c r="F29" s="20" t="s">
        <v>43</v>
      </c>
      <c r="G29" s="20">
        <v>1500</v>
      </c>
    </row>
    <row r="30" spans="1:7" x14ac:dyDescent="0.25">
      <c r="B30" s="20" t="s">
        <v>61</v>
      </c>
      <c r="C30" s="20" t="s">
        <v>62</v>
      </c>
      <c r="D30" s="20">
        <v>2700</v>
      </c>
      <c r="E30" s="20" t="s">
        <v>63</v>
      </c>
      <c r="F30" s="20" t="s">
        <v>43</v>
      </c>
      <c r="G30" s="20">
        <v>2100</v>
      </c>
    </row>
    <row r="31" spans="1:7" x14ac:dyDescent="0.25">
      <c r="B31" s="20" t="s">
        <v>33</v>
      </c>
      <c r="C31" s="20" t="s">
        <v>1</v>
      </c>
      <c r="D31" s="20">
        <v>0</v>
      </c>
      <c r="E31" s="20" t="s">
        <v>111</v>
      </c>
      <c r="F31" s="20" t="s">
        <v>39</v>
      </c>
      <c r="G31" s="20">
        <v>0</v>
      </c>
    </row>
    <row r="32" spans="1:7" x14ac:dyDescent="0.25">
      <c r="B32" s="20" t="s">
        <v>35</v>
      </c>
      <c r="C32" s="20" t="s">
        <v>2</v>
      </c>
      <c r="D32" s="20">
        <v>900</v>
      </c>
      <c r="E32" s="20" t="s">
        <v>112</v>
      </c>
      <c r="F32" s="20" t="s">
        <v>43</v>
      </c>
      <c r="G32" s="20">
        <v>900</v>
      </c>
    </row>
    <row r="33" spans="2:7" x14ac:dyDescent="0.25">
      <c r="B33" s="20" t="s">
        <v>54</v>
      </c>
      <c r="C33" s="20" t="s">
        <v>47</v>
      </c>
      <c r="D33" s="20">
        <v>0</v>
      </c>
      <c r="E33" s="20" t="s">
        <v>116</v>
      </c>
      <c r="F33" s="20" t="s">
        <v>39</v>
      </c>
      <c r="G33" s="20">
        <v>0</v>
      </c>
    </row>
  </sheetData>
  <pageMargins left="0.25" right="0.25" top="0.75" bottom="0.75" header="0.3" footer="0.3"/>
  <pageSetup scale="9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0B28-1F58-43E2-9A13-C71D9E0631E8}">
  <sheetPr>
    <tabColor rgb="FF0070C0"/>
  </sheetPr>
  <dimension ref="B2:H10"/>
  <sheetViews>
    <sheetView view="pageBreakPreview" topLeftCell="B1" zoomScale="77" zoomScaleNormal="100" zoomScaleSheetLayoutView="145" workbookViewId="0">
      <selection activeCell="B9" sqref="B9"/>
    </sheetView>
  </sheetViews>
  <sheetFormatPr defaultColWidth="8.77734375" defaultRowHeight="14.4" x14ac:dyDescent="0.3"/>
  <cols>
    <col min="1" max="1" width="3.6640625" style="1" customWidth="1"/>
    <col min="2" max="2" width="20.33203125" style="1" bestFit="1" customWidth="1"/>
    <col min="3" max="3" width="23.77734375" style="1" customWidth="1"/>
    <col min="4" max="16384" width="8.77734375" style="1"/>
  </cols>
  <sheetData>
    <row r="2" spans="2:8" ht="15.6" x14ac:dyDescent="0.3">
      <c r="B2" s="4" t="s">
        <v>0</v>
      </c>
      <c r="C2" s="4" t="s">
        <v>1</v>
      </c>
      <c r="D2" s="4" t="s">
        <v>2</v>
      </c>
      <c r="E2" s="5" t="s">
        <v>47</v>
      </c>
      <c r="F2" s="4" t="s">
        <v>3</v>
      </c>
      <c r="G2" s="6"/>
      <c r="H2" s="6"/>
    </row>
    <row r="3" spans="2:8" ht="15.6" x14ac:dyDescent="0.3">
      <c r="B3" s="7" t="s">
        <v>4</v>
      </c>
      <c r="C3" s="7">
        <v>2</v>
      </c>
      <c r="D3" s="7">
        <v>4</v>
      </c>
      <c r="E3" s="8">
        <v>3</v>
      </c>
      <c r="F3" s="7">
        <f>C3*$F$10+D3*$G$10+E3*$H$10</f>
        <v>3600</v>
      </c>
      <c r="G3" s="6"/>
      <c r="H3" s="6"/>
    </row>
    <row r="4" spans="2:8" ht="15.6" x14ac:dyDescent="0.3">
      <c r="B4" s="7" t="s">
        <v>48</v>
      </c>
      <c r="C4" s="7">
        <v>3</v>
      </c>
      <c r="D4" s="7">
        <v>4</v>
      </c>
      <c r="E4" s="8">
        <v>3</v>
      </c>
      <c r="F4" s="7">
        <f>C4*$F$10+D4*$G$10+E4*$H$10</f>
        <v>3600</v>
      </c>
      <c r="G4" s="7" t="s">
        <v>6</v>
      </c>
      <c r="H4" s="7">
        <v>3600</v>
      </c>
    </row>
    <row r="5" spans="2:8" ht="15.6" x14ac:dyDescent="0.3">
      <c r="B5" s="7" t="s">
        <v>49</v>
      </c>
      <c r="C5" s="7">
        <v>2</v>
      </c>
      <c r="D5" s="7">
        <v>1</v>
      </c>
      <c r="E5" s="8">
        <v>3</v>
      </c>
      <c r="F5" s="7">
        <f>C5*$F$10+D5*$G$10+E5*$H$10</f>
        <v>900</v>
      </c>
      <c r="G5" s="7" t="s">
        <v>6</v>
      </c>
      <c r="H5" s="7">
        <v>2400</v>
      </c>
    </row>
    <row r="6" spans="2:8" ht="15.6" x14ac:dyDescent="0.3">
      <c r="B6" s="7" t="s">
        <v>50</v>
      </c>
      <c r="C6" s="7">
        <v>1</v>
      </c>
      <c r="D6" s="7">
        <v>3</v>
      </c>
      <c r="E6" s="8">
        <v>3</v>
      </c>
      <c r="F6" s="7">
        <f>C6*$F$10+D6*$G$10+E6*$H$10</f>
        <v>2700</v>
      </c>
      <c r="G6" s="7" t="s">
        <v>6</v>
      </c>
      <c r="H6" s="7">
        <v>4800</v>
      </c>
    </row>
    <row r="8" spans="2:8" ht="18" x14ac:dyDescent="0.3">
      <c r="F8" s="37" t="s">
        <v>9</v>
      </c>
      <c r="G8" s="37"/>
      <c r="H8" s="37"/>
    </row>
    <row r="9" spans="2:8" ht="16.95" customHeight="1" x14ac:dyDescent="0.3">
      <c r="F9" s="8" t="s">
        <v>1</v>
      </c>
      <c r="G9" s="8" t="s">
        <v>2</v>
      </c>
      <c r="H9" s="8" t="s">
        <v>47</v>
      </c>
    </row>
    <row r="10" spans="2:8" ht="16.95" customHeight="1" x14ac:dyDescent="0.3">
      <c r="F10" s="8">
        <v>0</v>
      </c>
      <c r="G10" s="8">
        <v>900</v>
      </c>
      <c r="H10" s="8">
        <v>0</v>
      </c>
    </row>
  </sheetData>
  <mergeCells count="1">
    <mergeCell ref="F8:H8"/>
  </mergeCells>
  <pageMargins left="0.25" right="0.25" top="0.75" bottom="0.75" header="0.3" footer="0.3"/>
  <pageSetup scale="9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AD68-0677-4E49-8C6F-E5D2B0818E24}">
  <sheetPr>
    <tabColor rgb="FF0070C0"/>
  </sheetPr>
  <dimension ref="A1:G38"/>
  <sheetViews>
    <sheetView showGridLines="0" view="pageBreakPreview" zoomScale="59" zoomScaleNormal="47" workbookViewId="0">
      <selection activeCell="C5" sqref="C5"/>
    </sheetView>
  </sheetViews>
  <sheetFormatPr defaultColWidth="8.77734375" defaultRowHeight="13.8" x14ac:dyDescent="0.25"/>
  <cols>
    <col min="1" max="1" width="2.21875" style="2" customWidth="1"/>
    <col min="2" max="2" width="10.77734375" style="2" customWidth="1"/>
    <col min="3" max="3" width="45.88671875" style="2" bestFit="1" customWidth="1"/>
    <col min="4" max="4" width="12.44140625" style="2" bestFit="1" customWidth="1"/>
    <col min="5" max="5" width="18.44140625" style="2" customWidth="1"/>
    <col min="6" max="6" width="12.5546875" style="2" customWidth="1"/>
    <col min="7" max="7" width="8.21875" style="2" customWidth="1"/>
    <col min="8" max="8" width="2.21875" style="2" customWidth="1"/>
    <col min="9" max="16384" width="8.77734375" style="2"/>
  </cols>
  <sheetData>
    <row r="1" spans="1:5" x14ac:dyDescent="0.25">
      <c r="A1" s="2" t="s">
        <v>10</v>
      </c>
    </row>
    <row r="2" spans="1:5" x14ac:dyDescent="0.25">
      <c r="A2" s="2" t="s">
        <v>117</v>
      </c>
      <c r="C2" s="2" t="s">
        <v>223</v>
      </c>
    </row>
    <row r="3" spans="1:5" x14ac:dyDescent="0.25">
      <c r="A3" s="2" t="s">
        <v>118</v>
      </c>
    </row>
    <row r="4" spans="1:5" x14ac:dyDescent="0.25">
      <c r="A4" s="2" t="s">
        <v>11</v>
      </c>
    </row>
    <row r="5" spans="1:5" x14ac:dyDescent="0.25">
      <c r="A5" s="2" t="s">
        <v>12</v>
      </c>
    </row>
    <row r="6" spans="1:5" x14ac:dyDescent="0.25">
      <c r="B6" s="2" t="s">
        <v>13</v>
      </c>
    </row>
    <row r="7" spans="1:5" x14ac:dyDescent="0.25">
      <c r="B7" s="2" t="s">
        <v>115</v>
      </c>
    </row>
    <row r="8" spans="1:5" x14ac:dyDescent="0.25">
      <c r="B8" s="2" t="s">
        <v>73</v>
      </c>
    </row>
    <row r="9" spans="1:5" x14ac:dyDescent="0.25">
      <c r="A9" s="2" t="s">
        <v>16</v>
      </c>
    </row>
    <row r="10" spans="1:5" x14ac:dyDescent="0.25">
      <c r="B10" s="2" t="s">
        <v>52</v>
      </c>
    </row>
    <row r="11" spans="1:5" x14ac:dyDescent="0.25">
      <c r="B11" s="2" t="s">
        <v>18</v>
      </c>
    </row>
    <row r="14" spans="1:5" x14ac:dyDescent="0.25">
      <c r="A14" s="2" t="s">
        <v>19</v>
      </c>
    </row>
    <row r="15" spans="1:5" x14ac:dyDescent="0.25">
      <c r="B15" s="3" t="s">
        <v>20</v>
      </c>
      <c r="C15" s="3" t="s">
        <v>21</v>
      </c>
      <c r="D15" s="3" t="s">
        <v>22</v>
      </c>
      <c r="E15" s="3" t="s">
        <v>23</v>
      </c>
    </row>
    <row r="16" spans="1:5" x14ac:dyDescent="0.25">
      <c r="B16" s="20" t="s">
        <v>74</v>
      </c>
      <c r="C16" s="20" t="s">
        <v>75</v>
      </c>
      <c r="D16" s="20">
        <v>0.99648000000000037</v>
      </c>
      <c r="E16" s="20">
        <v>0.99648000000000037</v>
      </c>
    </row>
    <row r="19" spans="1:7" x14ac:dyDescent="0.25">
      <c r="A19" s="2" t="s">
        <v>24</v>
      </c>
    </row>
    <row r="20" spans="1:7" x14ac:dyDescent="0.25"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25</v>
      </c>
    </row>
    <row r="21" spans="1:7" x14ac:dyDescent="0.25">
      <c r="B21" s="20" t="s">
        <v>76</v>
      </c>
      <c r="C21" s="20" t="s">
        <v>1</v>
      </c>
      <c r="D21" s="20">
        <v>0</v>
      </c>
      <c r="E21" s="20">
        <v>0</v>
      </c>
      <c r="F21" s="20" t="s">
        <v>34</v>
      </c>
    </row>
    <row r="22" spans="1:7" x14ac:dyDescent="0.25">
      <c r="B22" s="20" t="s">
        <v>77</v>
      </c>
      <c r="C22" s="20" t="s">
        <v>2</v>
      </c>
      <c r="D22" s="20">
        <v>0</v>
      </c>
      <c r="E22" s="20">
        <v>0</v>
      </c>
      <c r="F22" s="20" t="s">
        <v>34</v>
      </c>
    </row>
    <row r="23" spans="1:7" x14ac:dyDescent="0.25">
      <c r="B23" s="20" t="s">
        <v>78</v>
      </c>
      <c r="C23" s="20" t="s">
        <v>47</v>
      </c>
      <c r="D23" s="20">
        <v>7.1999999999999993</v>
      </c>
      <c r="E23" s="20">
        <v>7.1999999999999993</v>
      </c>
      <c r="F23" s="20" t="s">
        <v>34</v>
      </c>
    </row>
    <row r="24" spans="1:7" x14ac:dyDescent="0.25">
      <c r="B24" s="20" t="s">
        <v>79</v>
      </c>
      <c r="C24" s="20" t="s">
        <v>64</v>
      </c>
      <c r="D24" s="20">
        <v>0</v>
      </c>
      <c r="E24" s="20">
        <v>0</v>
      </c>
      <c r="F24" s="20" t="s">
        <v>34</v>
      </c>
    </row>
    <row r="25" spans="1:7" x14ac:dyDescent="0.25">
      <c r="B25" s="20" t="s">
        <v>80</v>
      </c>
      <c r="C25" s="20" t="s">
        <v>65</v>
      </c>
      <c r="D25" s="20">
        <v>4.8000000000000052</v>
      </c>
      <c r="E25" s="20">
        <v>4.8000000000000052</v>
      </c>
      <c r="F25" s="20" t="s">
        <v>34</v>
      </c>
    </row>
    <row r="28" spans="1:7" x14ac:dyDescent="0.25">
      <c r="A28" s="2" t="s">
        <v>26</v>
      </c>
    </row>
    <row r="29" spans="1:7" x14ac:dyDescent="0.25">
      <c r="B29" s="3" t="s">
        <v>20</v>
      </c>
      <c r="C29" s="3" t="s">
        <v>21</v>
      </c>
      <c r="D29" s="3" t="s">
        <v>27</v>
      </c>
      <c r="E29" s="3" t="s">
        <v>28</v>
      </c>
      <c r="F29" s="3" t="s">
        <v>29</v>
      </c>
      <c r="G29" s="3" t="s">
        <v>30</v>
      </c>
    </row>
    <row r="30" spans="1:7" x14ac:dyDescent="0.25">
      <c r="B30" s="20" t="s">
        <v>81</v>
      </c>
      <c r="C30" s="20" t="s">
        <v>82</v>
      </c>
      <c r="D30" s="20">
        <v>12.000000000000004</v>
      </c>
      <c r="E30" s="20" t="s">
        <v>83</v>
      </c>
      <c r="F30" s="20" t="s">
        <v>39</v>
      </c>
      <c r="G30" s="20">
        <v>0</v>
      </c>
    </row>
    <row r="31" spans="1:7" x14ac:dyDescent="0.25">
      <c r="B31" s="20" t="s">
        <v>84</v>
      </c>
      <c r="C31" s="20" t="s">
        <v>85</v>
      </c>
      <c r="D31" s="20">
        <v>4.8000000000000052</v>
      </c>
      <c r="E31" s="20" t="s">
        <v>86</v>
      </c>
      <c r="F31" s="20" t="s">
        <v>39</v>
      </c>
      <c r="G31" s="20">
        <v>0</v>
      </c>
    </row>
    <row r="32" spans="1:7" x14ac:dyDescent="0.25">
      <c r="B32" s="20" t="s">
        <v>87</v>
      </c>
      <c r="C32" s="20" t="s">
        <v>88</v>
      </c>
      <c r="D32" s="20">
        <v>-3.5999999999999996</v>
      </c>
      <c r="E32" s="20" t="s">
        <v>89</v>
      </c>
      <c r="F32" s="20" t="s">
        <v>43</v>
      </c>
      <c r="G32" s="20">
        <v>3.5999999999999996</v>
      </c>
    </row>
    <row r="33" spans="2:7" x14ac:dyDescent="0.25">
      <c r="B33" s="20" t="s">
        <v>90</v>
      </c>
      <c r="C33" s="20" t="s">
        <v>91</v>
      </c>
      <c r="D33" s="20">
        <v>-0.16800000000000009</v>
      </c>
      <c r="E33" s="20" t="s">
        <v>92</v>
      </c>
      <c r="F33" s="20" t="s">
        <v>43</v>
      </c>
      <c r="G33" s="20">
        <v>0.16800000000000009</v>
      </c>
    </row>
    <row r="34" spans="2:7" x14ac:dyDescent="0.25">
      <c r="B34" s="20" t="s">
        <v>76</v>
      </c>
      <c r="C34" s="20" t="s">
        <v>1</v>
      </c>
      <c r="D34" s="20">
        <v>0</v>
      </c>
      <c r="E34" s="20" t="s">
        <v>119</v>
      </c>
      <c r="F34" s="20" t="s">
        <v>39</v>
      </c>
      <c r="G34" s="20">
        <v>0</v>
      </c>
    </row>
    <row r="35" spans="2:7" x14ac:dyDescent="0.25">
      <c r="B35" s="20" t="s">
        <v>77</v>
      </c>
      <c r="C35" s="20" t="s">
        <v>2</v>
      </c>
      <c r="D35" s="20">
        <v>0</v>
      </c>
      <c r="E35" s="20" t="s">
        <v>120</v>
      </c>
      <c r="F35" s="20" t="s">
        <v>39</v>
      </c>
      <c r="G35" s="20">
        <v>0</v>
      </c>
    </row>
    <row r="36" spans="2:7" x14ac:dyDescent="0.25">
      <c r="B36" s="20" t="s">
        <v>78</v>
      </c>
      <c r="C36" s="20" t="s">
        <v>47</v>
      </c>
      <c r="D36" s="20">
        <v>7.1999999999999993</v>
      </c>
      <c r="E36" s="20" t="s">
        <v>121</v>
      </c>
      <c r="F36" s="20" t="s">
        <v>43</v>
      </c>
      <c r="G36" s="20">
        <v>7.1999999999999993</v>
      </c>
    </row>
    <row r="37" spans="2:7" x14ac:dyDescent="0.25">
      <c r="B37" s="20" t="s">
        <v>79</v>
      </c>
      <c r="C37" s="20" t="s">
        <v>64</v>
      </c>
      <c r="D37" s="20">
        <v>0</v>
      </c>
      <c r="E37" s="20" t="s">
        <v>122</v>
      </c>
      <c r="F37" s="20" t="s">
        <v>39</v>
      </c>
      <c r="G37" s="20">
        <v>0</v>
      </c>
    </row>
    <row r="38" spans="2:7" x14ac:dyDescent="0.25">
      <c r="B38" s="20" t="s">
        <v>80</v>
      </c>
      <c r="C38" s="20" t="s">
        <v>65</v>
      </c>
      <c r="D38" s="20">
        <v>4.8000000000000052</v>
      </c>
      <c r="E38" s="20" t="s">
        <v>123</v>
      </c>
      <c r="F38" s="20" t="s">
        <v>43</v>
      </c>
      <c r="G38" s="20">
        <v>4.8000000000000052</v>
      </c>
    </row>
  </sheetData>
  <pageMargins left="0.25" right="0.25" top="0.75" bottom="0.75" header="0.3" footer="0.3"/>
  <pageSetup scale="8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3935-2496-48F3-80BC-44630095C993}">
  <sheetPr>
    <tabColor rgb="FF0070C0"/>
  </sheetPr>
  <dimension ref="B2:J11"/>
  <sheetViews>
    <sheetView view="pageBreakPreview" zoomScale="95" zoomScaleNormal="100" workbookViewId="0">
      <selection activeCell="Q13" sqref="Q13"/>
    </sheetView>
  </sheetViews>
  <sheetFormatPr defaultColWidth="11.33203125" defaultRowHeight="14.4" x14ac:dyDescent="0.3"/>
  <cols>
    <col min="1" max="1" width="2.5546875" style="1" customWidth="1"/>
    <col min="2" max="2" width="54.21875" style="1" customWidth="1"/>
    <col min="3" max="10" width="8.88671875" style="1" customWidth="1"/>
    <col min="11" max="11" width="2.44140625" style="1" customWidth="1"/>
    <col min="12" max="16384" width="11.33203125" style="1"/>
  </cols>
  <sheetData>
    <row r="2" spans="2:10" ht="15.6" x14ac:dyDescent="0.3">
      <c r="B2" s="4" t="s">
        <v>0</v>
      </c>
      <c r="C2" s="4" t="s">
        <v>1</v>
      </c>
      <c r="D2" s="4" t="s">
        <v>2</v>
      </c>
      <c r="E2" s="4" t="s">
        <v>47</v>
      </c>
      <c r="F2" s="4" t="s">
        <v>64</v>
      </c>
      <c r="G2" s="4" t="s">
        <v>65</v>
      </c>
      <c r="H2" s="4" t="s">
        <v>3</v>
      </c>
      <c r="I2" s="14"/>
      <c r="J2" s="14"/>
    </row>
    <row r="3" spans="2:10" ht="15.6" x14ac:dyDescent="0.3">
      <c r="B3" s="7" t="s">
        <v>66</v>
      </c>
      <c r="C3" s="7">
        <v>2.5999999999999999E-2</v>
      </c>
      <c r="D3" s="7">
        <v>5.0900000000000001E-2</v>
      </c>
      <c r="E3" s="7">
        <v>8.6400000000000005E-2</v>
      </c>
      <c r="F3" s="7">
        <v>6.8699999999999997E-2</v>
      </c>
      <c r="G3" s="7">
        <v>7.8E-2</v>
      </c>
      <c r="H3" s="15">
        <f>C3*$C$11+D3*$D$11+E3*$E$11+F3*$F$11+G3*$G$11</f>
        <v>0.99648000000000037</v>
      </c>
      <c r="I3" s="14"/>
      <c r="J3" s="14"/>
    </row>
    <row r="4" spans="2:10" ht="15.6" x14ac:dyDescent="0.3">
      <c r="B4" s="7" t="s">
        <v>67</v>
      </c>
      <c r="C4" s="7">
        <v>1</v>
      </c>
      <c r="D4" s="7">
        <v>1</v>
      </c>
      <c r="E4" s="7">
        <v>1</v>
      </c>
      <c r="F4" s="16">
        <v>1</v>
      </c>
      <c r="G4" s="16">
        <v>1</v>
      </c>
      <c r="H4" s="15">
        <f t="shared" ref="H4:H7" si="0">C4*$C$11+D4*$D$11+E4*$E$11+F4*$F$11+G4*$G$11</f>
        <v>12.000000000000004</v>
      </c>
      <c r="I4" s="7" t="s">
        <v>68</v>
      </c>
      <c r="J4" s="7">
        <v>12</v>
      </c>
    </row>
    <row r="5" spans="2:10" ht="15.6" x14ac:dyDescent="0.3">
      <c r="B5" s="7" t="s">
        <v>69</v>
      </c>
      <c r="C5" s="7"/>
      <c r="D5" s="7"/>
      <c r="E5" s="7"/>
      <c r="F5" s="16">
        <v>1</v>
      </c>
      <c r="G5" s="16">
        <v>1</v>
      </c>
      <c r="H5" s="15">
        <f t="shared" si="0"/>
        <v>4.8000000000000052</v>
      </c>
      <c r="I5" s="16" t="s">
        <v>70</v>
      </c>
      <c r="J5" s="7">
        <v>4.8</v>
      </c>
    </row>
    <row r="6" spans="2:10" ht="15.6" x14ac:dyDescent="0.3">
      <c r="B6" s="7" t="s">
        <v>71</v>
      </c>
      <c r="C6" s="7">
        <v>0.5</v>
      </c>
      <c r="D6" s="7">
        <v>0.5</v>
      </c>
      <c r="E6" s="7">
        <v>-0.5</v>
      </c>
      <c r="F6" s="16"/>
      <c r="G6" s="16"/>
      <c r="H6" s="15">
        <f t="shared" si="0"/>
        <v>-3.5999999999999996</v>
      </c>
      <c r="I6" s="7" t="s">
        <v>68</v>
      </c>
      <c r="J6" s="7">
        <v>0</v>
      </c>
    </row>
    <row r="7" spans="2:10" ht="15.6" x14ac:dyDescent="0.3">
      <c r="B7" s="7" t="s">
        <v>72</v>
      </c>
      <c r="C7" s="16">
        <v>0.06</v>
      </c>
      <c r="D7" s="16">
        <v>0.03</v>
      </c>
      <c r="E7" s="16">
        <v>-0.01</v>
      </c>
      <c r="F7" s="16">
        <v>0.01</v>
      </c>
      <c r="G7" s="16">
        <v>-0.02</v>
      </c>
      <c r="H7" s="15">
        <f t="shared" si="0"/>
        <v>-0.16800000000000009</v>
      </c>
      <c r="I7" s="7" t="s">
        <v>68</v>
      </c>
      <c r="J7" s="15">
        <v>0</v>
      </c>
    </row>
    <row r="9" spans="2:10" ht="18" x14ac:dyDescent="0.3">
      <c r="C9" s="38" t="s">
        <v>9</v>
      </c>
      <c r="D9" s="38"/>
      <c r="E9" s="38"/>
      <c r="F9" s="38"/>
      <c r="G9" s="38"/>
    </row>
    <row r="10" spans="2:10" ht="18" x14ac:dyDescent="0.35">
      <c r="C10" s="35" t="s">
        <v>1</v>
      </c>
      <c r="D10" s="35" t="s">
        <v>2</v>
      </c>
      <c r="E10" s="34" t="s">
        <v>47</v>
      </c>
      <c r="F10" s="34" t="s">
        <v>64</v>
      </c>
      <c r="G10" s="34" t="s">
        <v>65</v>
      </c>
    </row>
    <row r="11" spans="2:10" ht="18" x14ac:dyDescent="0.35">
      <c r="C11" s="34">
        <v>0</v>
      </c>
      <c r="D11" s="34">
        <v>0</v>
      </c>
      <c r="E11" s="34">
        <v>7.1999999999999993</v>
      </c>
      <c r="F11" s="34">
        <v>0</v>
      </c>
      <c r="G11" s="34">
        <v>4.8000000000000052</v>
      </c>
    </row>
  </sheetData>
  <mergeCells count="1">
    <mergeCell ref="C9:G9"/>
  </mergeCells>
  <pageMargins left="0.25" right="0.25" top="0.75" bottom="0.75" header="0.3" footer="0.3"/>
  <pageSetup scale="7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3A94-96D4-4294-982F-03381DF0F9AB}">
  <sheetPr>
    <tabColor rgb="FFFFFF00"/>
  </sheetPr>
  <dimension ref="A1:G32"/>
  <sheetViews>
    <sheetView showGridLines="0" view="pageBreakPreview" zoomScale="107" zoomScaleNormal="100" workbookViewId="0">
      <selection activeCell="D8" sqref="D8"/>
    </sheetView>
  </sheetViews>
  <sheetFormatPr defaultColWidth="8.77734375" defaultRowHeight="13.8" x14ac:dyDescent="0.25"/>
  <cols>
    <col min="1" max="1" width="2.21875" style="2" customWidth="1"/>
    <col min="2" max="2" width="9.44140625" style="2" customWidth="1"/>
    <col min="3" max="3" width="23.21875" style="2" customWidth="1"/>
    <col min="4" max="4" width="12.44140625" style="2" bestFit="1" customWidth="1"/>
    <col min="5" max="5" width="13.33203125" style="2" customWidth="1"/>
    <col min="6" max="6" width="12" style="2" customWidth="1"/>
    <col min="7" max="7" width="5" style="2" bestFit="1" customWidth="1"/>
    <col min="8" max="9" width="8.77734375" style="2"/>
    <col min="10" max="10" width="2.109375" style="2" customWidth="1"/>
    <col min="11" max="16384" width="8.77734375" style="2"/>
  </cols>
  <sheetData>
    <row r="1" spans="1:5" x14ac:dyDescent="0.25">
      <c r="A1" s="2" t="s">
        <v>10</v>
      </c>
    </row>
    <row r="2" spans="1:5" x14ac:dyDescent="0.25">
      <c r="A2" s="2" t="s">
        <v>95</v>
      </c>
      <c r="C2" s="2" t="s">
        <v>224</v>
      </c>
    </row>
    <row r="3" spans="1:5" x14ac:dyDescent="0.25">
      <c r="A3" s="2" t="s">
        <v>219</v>
      </c>
    </row>
    <row r="4" spans="1:5" x14ac:dyDescent="0.25">
      <c r="A4" s="2" t="s">
        <v>11</v>
      </c>
    </row>
    <row r="5" spans="1:5" x14ac:dyDescent="0.25">
      <c r="A5" s="2" t="s">
        <v>12</v>
      </c>
    </row>
    <row r="6" spans="1:5" x14ac:dyDescent="0.25">
      <c r="B6" s="2" t="s">
        <v>13</v>
      </c>
    </row>
    <row r="7" spans="1:5" x14ac:dyDescent="0.25">
      <c r="B7" s="2" t="s">
        <v>115</v>
      </c>
    </row>
    <row r="8" spans="1:5" x14ac:dyDescent="0.25">
      <c r="B8" s="2" t="s">
        <v>15</v>
      </c>
    </row>
    <row r="9" spans="1:5" x14ac:dyDescent="0.25">
      <c r="A9" s="2" t="s">
        <v>16</v>
      </c>
    </row>
    <row r="10" spans="1:5" x14ac:dyDescent="0.25">
      <c r="B10" s="2" t="s">
        <v>52</v>
      </c>
    </row>
    <row r="11" spans="1:5" x14ac:dyDescent="0.25">
      <c r="B11" s="2" t="s">
        <v>18</v>
      </c>
    </row>
    <row r="14" spans="1:5" x14ac:dyDescent="0.25">
      <c r="A14" s="2" t="s">
        <v>96</v>
      </c>
    </row>
    <row r="15" spans="1:5" x14ac:dyDescent="0.25">
      <c r="B15" s="3" t="s">
        <v>20</v>
      </c>
      <c r="C15" s="3" t="s">
        <v>21</v>
      </c>
      <c r="D15" s="3" t="s">
        <v>22</v>
      </c>
      <c r="E15" s="3" t="s">
        <v>23</v>
      </c>
    </row>
    <row r="16" spans="1:5" x14ac:dyDescent="0.25">
      <c r="B16" s="20" t="s">
        <v>31</v>
      </c>
      <c r="C16" s="20" t="s">
        <v>32</v>
      </c>
      <c r="D16" s="20">
        <v>1350</v>
      </c>
      <c r="E16" s="20">
        <v>1350</v>
      </c>
    </row>
    <row r="19" spans="1:7" x14ac:dyDescent="0.25">
      <c r="A19" s="2" t="s">
        <v>24</v>
      </c>
    </row>
    <row r="20" spans="1:7" x14ac:dyDescent="0.25"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25</v>
      </c>
    </row>
    <row r="21" spans="1:7" x14ac:dyDescent="0.25">
      <c r="B21" s="20" t="s">
        <v>79</v>
      </c>
      <c r="C21" s="20" t="s">
        <v>1</v>
      </c>
      <c r="D21" s="20">
        <v>15</v>
      </c>
      <c r="E21" s="20">
        <v>15</v>
      </c>
      <c r="F21" s="20" t="s">
        <v>34</v>
      </c>
    </row>
    <row r="22" spans="1:7" x14ac:dyDescent="0.25">
      <c r="B22" s="20" t="s">
        <v>80</v>
      </c>
      <c r="C22" s="20" t="s">
        <v>2</v>
      </c>
      <c r="D22" s="20">
        <v>10</v>
      </c>
      <c r="E22" s="20">
        <v>10</v>
      </c>
      <c r="F22" s="20" t="s">
        <v>34</v>
      </c>
    </row>
    <row r="25" spans="1:7" x14ac:dyDescent="0.25">
      <c r="A25" s="2" t="s">
        <v>26</v>
      </c>
    </row>
    <row r="26" spans="1:7" x14ac:dyDescent="0.25">
      <c r="B26" s="3" t="s">
        <v>20</v>
      </c>
      <c r="C26" s="3" t="s">
        <v>21</v>
      </c>
      <c r="D26" s="3" t="s">
        <v>27</v>
      </c>
      <c r="E26" s="3" t="s">
        <v>28</v>
      </c>
      <c r="F26" s="3" t="s">
        <v>29</v>
      </c>
      <c r="G26" s="3" t="s">
        <v>30</v>
      </c>
    </row>
    <row r="27" spans="1:7" x14ac:dyDescent="0.25">
      <c r="B27" s="20" t="s">
        <v>36</v>
      </c>
      <c r="C27" s="20" t="s">
        <v>97</v>
      </c>
      <c r="D27" s="20">
        <v>15</v>
      </c>
      <c r="E27" s="20" t="s">
        <v>98</v>
      </c>
      <c r="F27" s="20" t="s">
        <v>39</v>
      </c>
      <c r="G27" s="20">
        <v>0</v>
      </c>
    </row>
    <row r="28" spans="1:7" x14ac:dyDescent="0.25">
      <c r="B28" s="20" t="s">
        <v>40</v>
      </c>
      <c r="C28" s="20" t="s">
        <v>3</v>
      </c>
      <c r="D28" s="20">
        <v>10</v>
      </c>
      <c r="E28" s="20" t="s">
        <v>99</v>
      </c>
      <c r="F28" s="20" t="s">
        <v>39</v>
      </c>
      <c r="G28" s="20">
        <v>0</v>
      </c>
    </row>
    <row r="29" spans="1:7" x14ac:dyDescent="0.25">
      <c r="B29" s="20" t="s">
        <v>44</v>
      </c>
      <c r="C29" s="20" t="s">
        <v>100</v>
      </c>
      <c r="D29" s="20">
        <v>60</v>
      </c>
      <c r="E29" s="20" t="s">
        <v>46</v>
      </c>
      <c r="F29" s="20" t="s">
        <v>43</v>
      </c>
      <c r="G29" s="20">
        <v>20</v>
      </c>
    </row>
    <row r="30" spans="1:7" x14ac:dyDescent="0.25">
      <c r="B30" s="20" t="s">
        <v>101</v>
      </c>
      <c r="C30" s="20" t="s">
        <v>3</v>
      </c>
      <c r="D30" s="20">
        <v>120</v>
      </c>
      <c r="E30" s="20" t="s">
        <v>102</v>
      </c>
      <c r="F30" s="20" t="s">
        <v>43</v>
      </c>
      <c r="G30" s="20">
        <v>30</v>
      </c>
    </row>
    <row r="31" spans="1:7" x14ac:dyDescent="0.25">
      <c r="B31" s="20" t="s">
        <v>79</v>
      </c>
      <c r="C31" s="20" t="s">
        <v>1</v>
      </c>
      <c r="D31" s="20">
        <v>15</v>
      </c>
      <c r="E31" s="20" t="s">
        <v>122</v>
      </c>
      <c r="F31" s="20" t="s">
        <v>43</v>
      </c>
      <c r="G31" s="20">
        <v>15</v>
      </c>
    </row>
    <row r="32" spans="1:7" x14ac:dyDescent="0.25">
      <c r="B32" s="20" t="s">
        <v>80</v>
      </c>
      <c r="C32" s="20" t="s">
        <v>2</v>
      </c>
      <c r="D32" s="20">
        <v>10</v>
      </c>
      <c r="E32" s="20" t="s">
        <v>123</v>
      </c>
      <c r="F32" s="20" t="s">
        <v>43</v>
      </c>
      <c r="G32" s="20">
        <v>10</v>
      </c>
    </row>
  </sheetData>
  <pageMargins left="0.7" right="0.7" top="0.75" bottom="0.75" header="0.3" footer="0.3"/>
  <pageSetup scale="9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AF82-DE53-4295-96DA-0AE6948B0502}">
  <sheetPr>
    <tabColor rgb="FFFFFF00"/>
  </sheetPr>
  <dimension ref="B2:G11"/>
  <sheetViews>
    <sheetView zoomScaleNormal="100" workbookViewId="0">
      <selection activeCell="M17" sqref="M17"/>
    </sheetView>
  </sheetViews>
  <sheetFormatPr defaultColWidth="8.77734375" defaultRowHeight="14.4" x14ac:dyDescent="0.3"/>
  <cols>
    <col min="1" max="1" width="2.21875" style="1" customWidth="1"/>
    <col min="2" max="2" width="23" style="1" bestFit="1" customWidth="1"/>
    <col min="3" max="16384" width="8.77734375" style="1"/>
  </cols>
  <sheetData>
    <row r="2" spans="2:7" ht="15.6" x14ac:dyDescent="0.3">
      <c r="B2" s="4" t="s">
        <v>0</v>
      </c>
      <c r="C2" s="4" t="s">
        <v>1</v>
      </c>
      <c r="D2" s="4" t="s">
        <v>2</v>
      </c>
      <c r="E2" s="4" t="s">
        <v>3</v>
      </c>
      <c r="F2" s="6"/>
      <c r="G2" s="6"/>
    </row>
    <row r="3" spans="2:7" ht="15.6" x14ac:dyDescent="0.3">
      <c r="B3" s="7" t="s">
        <v>4</v>
      </c>
      <c r="C3" s="7">
        <v>45</v>
      </c>
      <c r="D3" s="7">
        <v>67.5</v>
      </c>
      <c r="E3" s="7">
        <f>C3*$F$11+D3*$G$11</f>
        <v>1350</v>
      </c>
      <c r="F3" s="6"/>
      <c r="G3" s="6"/>
    </row>
    <row r="4" spans="2:7" ht="15.6" x14ac:dyDescent="0.3">
      <c r="B4" s="39" t="s">
        <v>93</v>
      </c>
      <c r="C4" s="7">
        <v>1</v>
      </c>
      <c r="D4" s="7">
        <v>0</v>
      </c>
      <c r="E4" s="7">
        <f t="shared" ref="E4:E7" si="0">C4*$F$11+D4*$G$11</f>
        <v>15</v>
      </c>
      <c r="F4" s="7" t="s">
        <v>70</v>
      </c>
      <c r="G4" s="7">
        <v>15</v>
      </c>
    </row>
    <row r="5" spans="2:7" ht="15.6" x14ac:dyDescent="0.3">
      <c r="B5" s="40"/>
      <c r="C5" s="7">
        <v>0</v>
      </c>
      <c r="D5" s="7">
        <v>1</v>
      </c>
      <c r="E5" s="7">
        <f t="shared" si="0"/>
        <v>10</v>
      </c>
      <c r="F5" s="7" t="s">
        <v>70</v>
      </c>
      <c r="G5" s="7">
        <v>10</v>
      </c>
    </row>
    <row r="6" spans="2:7" ht="15.6" x14ac:dyDescent="0.3">
      <c r="B6" s="39" t="s">
        <v>94</v>
      </c>
      <c r="C6" s="7">
        <v>2</v>
      </c>
      <c r="D6" s="7">
        <v>3</v>
      </c>
      <c r="E6" s="7">
        <f t="shared" si="0"/>
        <v>60</v>
      </c>
      <c r="F6" s="7" t="s">
        <v>68</v>
      </c>
      <c r="G6" s="7">
        <v>80</v>
      </c>
    </row>
    <row r="7" spans="2:7" ht="15.6" x14ac:dyDescent="0.3">
      <c r="B7" s="40"/>
      <c r="C7" s="7">
        <v>4</v>
      </c>
      <c r="D7" s="7">
        <v>6</v>
      </c>
      <c r="E7" s="7">
        <f t="shared" si="0"/>
        <v>120</v>
      </c>
      <c r="F7" s="15" t="s">
        <v>68</v>
      </c>
      <c r="G7" s="7">
        <v>150</v>
      </c>
    </row>
    <row r="9" spans="2:7" ht="18" x14ac:dyDescent="0.3">
      <c r="F9" s="37" t="s">
        <v>9</v>
      </c>
      <c r="G9" s="37"/>
    </row>
    <row r="10" spans="2:7" ht="18" x14ac:dyDescent="0.3">
      <c r="F10" s="9" t="s">
        <v>1</v>
      </c>
      <c r="G10" s="9" t="s">
        <v>2</v>
      </c>
    </row>
    <row r="11" spans="2:7" ht="18" x14ac:dyDescent="0.35">
      <c r="F11" s="11">
        <v>15</v>
      </c>
      <c r="G11" s="11">
        <v>10</v>
      </c>
    </row>
  </sheetData>
  <mergeCells count="3">
    <mergeCell ref="B4:B5"/>
    <mergeCell ref="B6:B7"/>
    <mergeCell ref="F9:G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CDA8B-88B4-43EA-86C4-20CEAC43C8C4}">
  <sheetPr>
    <tabColor rgb="FFFFFF00"/>
  </sheetPr>
  <dimension ref="A1:G49"/>
  <sheetViews>
    <sheetView showGridLines="0" zoomScale="66" zoomScaleNormal="66" workbookViewId="0">
      <selection activeCell="C6" sqref="C6"/>
    </sheetView>
  </sheetViews>
  <sheetFormatPr defaultColWidth="8.77734375" defaultRowHeight="13.8" x14ac:dyDescent="0.25"/>
  <cols>
    <col min="1" max="1" width="2.21875" style="2" customWidth="1"/>
    <col min="2" max="2" width="7.5546875" style="2" customWidth="1"/>
    <col min="3" max="3" width="57.77734375" style="2" customWidth="1"/>
    <col min="4" max="4" width="13.33203125" style="2" customWidth="1"/>
    <col min="5" max="5" width="15" style="2" customWidth="1"/>
    <col min="6" max="6" width="12.5546875" style="2" customWidth="1"/>
    <col min="7" max="7" width="11.77734375" style="2" bestFit="1" customWidth="1"/>
    <col min="8" max="8" width="4.33203125" style="2" customWidth="1"/>
    <col min="9" max="16384" width="8.77734375" style="2"/>
  </cols>
  <sheetData>
    <row r="1" spans="1:5" x14ac:dyDescent="0.25">
      <c r="A1" s="2" t="s">
        <v>10</v>
      </c>
    </row>
    <row r="2" spans="1:5" x14ac:dyDescent="0.25">
      <c r="A2" s="2" t="s">
        <v>125</v>
      </c>
      <c r="C2" s="2" t="s">
        <v>225</v>
      </c>
    </row>
    <row r="3" spans="1:5" x14ac:dyDescent="0.25">
      <c r="A3" s="2" t="s">
        <v>126</v>
      </c>
    </row>
    <row r="4" spans="1:5" x14ac:dyDescent="0.25">
      <c r="A4" s="2" t="s">
        <v>11</v>
      </c>
    </row>
    <row r="5" spans="1:5" x14ac:dyDescent="0.25">
      <c r="A5" s="2" t="s">
        <v>12</v>
      </c>
    </row>
    <row r="6" spans="1:5" x14ac:dyDescent="0.25">
      <c r="B6" s="2" t="s">
        <v>13</v>
      </c>
    </row>
    <row r="7" spans="1:5" x14ac:dyDescent="0.25">
      <c r="B7" s="2" t="s">
        <v>124</v>
      </c>
    </row>
    <row r="8" spans="1:5" x14ac:dyDescent="0.25">
      <c r="B8" s="2" t="s">
        <v>127</v>
      </c>
    </row>
    <row r="9" spans="1:5" x14ac:dyDescent="0.25">
      <c r="A9" s="2" t="s">
        <v>16</v>
      </c>
    </row>
    <row r="10" spans="1:5" x14ac:dyDescent="0.25">
      <c r="B10" s="2" t="s">
        <v>52</v>
      </c>
    </row>
    <row r="11" spans="1:5" x14ac:dyDescent="0.25">
      <c r="B11" s="2" t="s">
        <v>18</v>
      </c>
    </row>
    <row r="13" spans="1:5" x14ac:dyDescent="0.25">
      <c r="A13" s="2" t="s">
        <v>96</v>
      </c>
    </row>
    <row r="14" spans="1:5" x14ac:dyDescent="0.25">
      <c r="B14" s="3" t="s">
        <v>20</v>
      </c>
      <c r="C14" s="3" t="s">
        <v>21</v>
      </c>
      <c r="D14" s="3" t="s">
        <v>22</v>
      </c>
      <c r="E14" s="3" t="s">
        <v>23</v>
      </c>
    </row>
    <row r="15" spans="1:5" x14ac:dyDescent="0.25">
      <c r="B15" s="20" t="s">
        <v>128</v>
      </c>
      <c r="C15" s="20" t="s">
        <v>32</v>
      </c>
      <c r="D15" s="21">
        <v>73.333333333333329</v>
      </c>
      <c r="E15" s="21">
        <v>73.333333333333329</v>
      </c>
    </row>
    <row r="17" spans="1:7" x14ac:dyDescent="0.25">
      <c r="A17" s="2" t="s">
        <v>24</v>
      </c>
    </row>
    <row r="18" spans="1:7" x14ac:dyDescent="0.25"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25</v>
      </c>
    </row>
    <row r="19" spans="1:7" x14ac:dyDescent="0.25">
      <c r="B19" s="20" t="s">
        <v>129</v>
      </c>
      <c r="C19" s="20" t="s">
        <v>1</v>
      </c>
      <c r="D19" s="21">
        <v>20</v>
      </c>
      <c r="E19" s="21">
        <v>20</v>
      </c>
      <c r="F19" s="20" t="s">
        <v>34</v>
      </c>
    </row>
    <row r="20" spans="1:7" x14ac:dyDescent="0.25">
      <c r="B20" s="20" t="s">
        <v>130</v>
      </c>
      <c r="C20" s="20" t="s">
        <v>2</v>
      </c>
      <c r="D20" s="21">
        <v>8.3333333333333321</v>
      </c>
      <c r="E20" s="21">
        <v>8.3333333333333321</v>
      </c>
      <c r="F20" s="20" t="s">
        <v>34</v>
      </c>
    </row>
    <row r="21" spans="1:7" x14ac:dyDescent="0.25">
      <c r="B21" s="20" t="s">
        <v>131</v>
      </c>
      <c r="C21" s="20" t="s">
        <v>47</v>
      </c>
      <c r="D21" s="21">
        <v>18.333333333333332</v>
      </c>
      <c r="E21" s="21">
        <v>18.333333333333332</v>
      </c>
      <c r="F21" s="20" t="s">
        <v>34</v>
      </c>
    </row>
    <row r="22" spans="1:7" x14ac:dyDescent="0.25">
      <c r="B22" s="20" t="s">
        <v>132</v>
      </c>
      <c r="C22" s="20" t="s">
        <v>64</v>
      </c>
      <c r="D22" s="21">
        <v>0</v>
      </c>
      <c r="E22" s="21">
        <v>0</v>
      </c>
      <c r="F22" s="20" t="s">
        <v>34</v>
      </c>
    </row>
    <row r="23" spans="1:7" x14ac:dyDescent="0.25">
      <c r="B23" s="20" t="s">
        <v>133</v>
      </c>
      <c r="C23" s="20" t="s">
        <v>65</v>
      </c>
      <c r="D23" s="21">
        <v>13.333333333333332</v>
      </c>
      <c r="E23" s="21">
        <v>13.333333333333332</v>
      </c>
      <c r="F23" s="20" t="s">
        <v>34</v>
      </c>
    </row>
    <row r="24" spans="1:7" x14ac:dyDescent="0.25">
      <c r="B24" s="20" t="s">
        <v>134</v>
      </c>
      <c r="C24" s="20" t="s">
        <v>103</v>
      </c>
      <c r="D24" s="21">
        <v>10</v>
      </c>
      <c r="E24" s="21">
        <v>10</v>
      </c>
      <c r="F24" s="20" t="s">
        <v>34</v>
      </c>
    </row>
    <row r="25" spans="1:7" x14ac:dyDescent="0.25">
      <c r="B25" s="20" t="s">
        <v>135</v>
      </c>
      <c r="C25" s="20" t="s">
        <v>104</v>
      </c>
      <c r="D25" s="21">
        <v>3.333333333333333</v>
      </c>
      <c r="E25" s="21">
        <v>3.333333333333333</v>
      </c>
      <c r="F25" s="20" t="s">
        <v>34</v>
      </c>
    </row>
    <row r="26" spans="1:7" x14ac:dyDescent="0.25">
      <c r="D26" s="22"/>
      <c r="E26" s="22"/>
    </row>
    <row r="27" spans="1:7" x14ac:dyDescent="0.25">
      <c r="A27" s="2" t="s">
        <v>26</v>
      </c>
    </row>
    <row r="28" spans="1:7" x14ac:dyDescent="0.25">
      <c r="B28" s="3" t="s">
        <v>20</v>
      </c>
      <c r="C28" s="3" t="s">
        <v>21</v>
      </c>
      <c r="D28" s="3" t="s">
        <v>27</v>
      </c>
      <c r="E28" s="3" t="s">
        <v>28</v>
      </c>
      <c r="F28" s="3" t="s">
        <v>29</v>
      </c>
      <c r="G28" s="3" t="s">
        <v>30</v>
      </c>
    </row>
    <row r="29" spans="1:7" x14ac:dyDescent="0.25">
      <c r="B29" s="20" t="s">
        <v>136</v>
      </c>
      <c r="C29" s="20" t="s">
        <v>137</v>
      </c>
      <c r="D29" s="21">
        <v>20</v>
      </c>
      <c r="E29" s="20" t="s">
        <v>138</v>
      </c>
      <c r="F29" s="20" t="s">
        <v>43</v>
      </c>
      <c r="G29" s="20">
        <v>20</v>
      </c>
    </row>
    <row r="30" spans="1:7" x14ac:dyDescent="0.25">
      <c r="B30" s="20" t="s">
        <v>139</v>
      </c>
      <c r="C30" s="20" t="s">
        <v>140</v>
      </c>
      <c r="D30" s="21">
        <v>8.3333333333333321</v>
      </c>
      <c r="E30" s="20" t="s">
        <v>141</v>
      </c>
      <c r="F30" s="20" t="s">
        <v>43</v>
      </c>
      <c r="G30" s="20">
        <v>31.666666666666668</v>
      </c>
    </row>
    <row r="31" spans="1:7" x14ac:dyDescent="0.25">
      <c r="B31" s="20" t="s">
        <v>142</v>
      </c>
      <c r="C31" s="20" t="s">
        <v>3</v>
      </c>
      <c r="D31" s="21">
        <v>18.333333333333332</v>
      </c>
      <c r="E31" s="20" t="s">
        <v>143</v>
      </c>
      <c r="F31" s="20" t="s">
        <v>43</v>
      </c>
      <c r="G31" s="20">
        <v>21.666666666666668</v>
      </c>
    </row>
    <row r="32" spans="1:7" x14ac:dyDescent="0.25">
      <c r="B32" s="20" t="s">
        <v>144</v>
      </c>
      <c r="C32" s="20" t="s">
        <v>3</v>
      </c>
      <c r="D32" s="21">
        <v>0</v>
      </c>
      <c r="E32" s="20" t="s">
        <v>145</v>
      </c>
      <c r="F32" s="20" t="s">
        <v>43</v>
      </c>
      <c r="G32" s="20">
        <v>40</v>
      </c>
    </row>
    <row r="33" spans="2:7" x14ac:dyDescent="0.25">
      <c r="B33" s="20" t="s">
        <v>146</v>
      </c>
      <c r="C33" s="20" t="s">
        <v>3</v>
      </c>
      <c r="D33" s="21">
        <v>13.333333333333332</v>
      </c>
      <c r="E33" s="20" t="s">
        <v>147</v>
      </c>
      <c r="F33" s="20" t="s">
        <v>43</v>
      </c>
      <c r="G33" s="20">
        <v>26.666666666666668</v>
      </c>
    </row>
    <row r="34" spans="2:7" x14ac:dyDescent="0.25">
      <c r="B34" s="20" t="s">
        <v>148</v>
      </c>
      <c r="C34" s="20" t="s">
        <v>3</v>
      </c>
      <c r="D34" s="21">
        <v>10</v>
      </c>
      <c r="E34" s="20" t="s">
        <v>149</v>
      </c>
      <c r="F34" s="20" t="s">
        <v>43</v>
      </c>
      <c r="G34" s="20">
        <v>30</v>
      </c>
    </row>
    <row r="35" spans="2:7" x14ac:dyDescent="0.25">
      <c r="B35" s="20" t="s">
        <v>150</v>
      </c>
      <c r="C35" s="20" t="s">
        <v>3</v>
      </c>
      <c r="D35" s="21">
        <v>3.333333333333333</v>
      </c>
      <c r="E35" s="20" t="s">
        <v>151</v>
      </c>
      <c r="F35" s="20" t="s">
        <v>43</v>
      </c>
      <c r="G35" s="20">
        <v>36.666666666666664</v>
      </c>
    </row>
    <row r="36" spans="2:7" x14ac:dyDescent="0.25">
      <c r="B36" s="20" t="s">
        <v>152</v>
      </c>
      <c r="C36" s="20" t="s">
        <v>153</v>
      </c>
      <c r="D36" s="21">
        <v>46.666666666666664</v>
      </c>
      <c r="E36" s="20" t="s">
        <v>154</v>
      </c>
      <c r="F36" s="20" t="s">
        <v>43</v>
      </c>
      <c r="G36" s="21">
        <v>11.666666666666664</v>
      </c>
    </row>
    <row r="37" spans="2:7" x14ac:dyDescent="0.25">
      <c r="B37" s="20" t="s">
        <v>155</v>
      </c>
      <c r="C37" s="20" t="s">
        <v>156</v>
      </c>
      <c r="D37" s="21">
        <v>55</v>
      </c>
      <c r="E37" s="20" t="s">
        <v>157</v>
      </c>
      <c r="F37" s="20" t="s">
        <v>39</v>
      </c>
      <c r="G37" s="21">
        <v>0</v>
      </c>
    </row>
    <row r="38" spans="2:7" x14ac:dyDescent="0.25">
      <c r="B38" s="20" t="s">
        <v>158</v>
      </c>
      <c r="C38" s="20" t="s">
        <v>3</v>
      </c>
      <c r="D38" s="21">
        <v>60</v>
      </c>
      <c r="E38" s="20" t="s">
        <v>159</v>
      </c>
      <c r="F38" s="20" t="s">
        <v>39</v>
      </c>
      <c r="G38" s="21">
        <v>0</v>
      </c>
    </row>
    <row r="39" spans="2:7" x14ac:dyDescent="0.25">
      <c r="B39" s="20" t="s">
        <v>160</v>
      </c>
      <c r="C39" s="20" t="s">
        <v>3</v>
      </c>
      <c r="D39" s="21">
        <v>50</v>
      </c>
      <c r="E39" s="20" t="s">
        <v>161</v>
      </c>
      <c r="F39" s="20" t="s">
        <v>39</v>
      </c>
      <c r="G39" s="21">
        <v>0</v>
      </c>
    </row>
    <row r="40" spans="2:7" x14ac:dyDescent="0.25">
      <c r="B40" s="20" t="s">
        <v>162</v>
      </c>
      <c r="C40" s="20" t="s">
        <v>3</v>
      </c>
      <c r="D40" s="21">
        <v>60</v>
      </c>
      <c r="E40" s="20" t="s">
        <v>163</v>
      </c>
      <c r="F40" s="20" t="s">
        <v>39</v>
      </c>
      <c r="G40" s="21">
        <v>0</v>
      </c>
    </row>
    <row r="41" spans="2:7" x14ac:dyDescent="0.25">
      <c r="B41" s="20" t="s">
        <v>164</v>
      </c>
      <c r="C41" s="20" t="s">
        <v>3</v>
      </c>
      <c r="D41" s="21">
        <v>50</v>
      </c>
      <c r="E41" s="20" t="s">
        <v>165</v>
      </c>
      <c r="F41" s="20" t="s">
        <v>39</v>
      </c>
      <c r="G41" s="21">
        <v>0</v>
      </c>
    </row>
    <row r="42" spans="2:7" x14ac:dyDescent="0.25">
      <c r="B42" s="20" t="s">
        <v>166</v>
      </c>
      <c r="C42" s="20" t="s">
        <v>3</v>
      </c>
      <c r="D42" s="21">
        <v>45</v>
      </c>
      <c r="E42" s="20" t="s">
        <v>167</v>
      </c>
      <c r="F42" s="20" t="s">
        <v>39</v>
      </c>
      <c r="G42" s="21">
        <v>0</v>
      </c>
    </row>
    <row r="43" spans="2:7" x14ac:dyDescent="0.25">
      <c r="B43" s="20" t="s">
        <v>129</v>
      </c>
      <c r="C43" s="20" t="s">
        <v>1</v>
      </c>
      <c r="D43" s="21">
        <v>20</v>
      </c>
      <c r="E43" s="20" t="s">
        <v>168</v>
      </c>
      <c r="F43" s="20" t="s">
        <v>43</v>
      </c>
      <c r="G43" s="21">
        <v>20</v>
      </c>
    </row>
    <row r="44" spans="2:7" x14ac:dyDescent="0.25">
      <c r="B44" s="20" t="s">
        <v>130</v>
      </c>
      <c r="C44" s="20" t="s">
        <v>2</v>
      </c>
      <c r="D44" s="21">
        <v>8.3333333333333321</v>
      </c>
      <c r="E44" s="20" t="s">
        <v>169</v>
      </c>
      <c r="F44" s="20" t="s">
        <v>43</v>
      </c>
      <c r="G44" s="21">
        <v>8.3333333333333321</v>
      </c>
    </row>
    <row r="45" spans="2:7" x14ac:dyDescent="0.25">
      <c r="B45" s="20" t="s">
        <v>131</v>
      </c>
      <c r="C45" s="20" t="s">
        <v>47</v>
      </c>
      <c r="D45" s="21">
        <v>18.333333333333332</v>
      </c>
      <c r="E45" s="20" t="s">
        <v>170</v>
      </c>
      <c r="F45" s="20" t="s">
        <v>43</v>
      </c>
      <c r="G45" s="21">
        <v>18.333333333333332</v>
      </c>
    </row>
    <row r="46" spans="2:7" x14ac:dyDescent="0.25">
      <c r="B46" s="20" t="s">
        <v>132</v>
      </c>
      <c r="C46" s="20" t="s">
        <v>64</v>
      </c>
      <c r="D46" s="21">
        <v>0</v>
      </c>
      <c r="E46" s="20" t="s">
        <v>171</v>
      </c>
      <c r="F46" s="20" t="s">
        <v>39</v>
      </c>
      <c r="G46" s="21">
        <v>0</v>
      </c>
    </row>
    <row r="47" spans="2:7" x14ac:dyDescent="0.25">
      <c r="B47" s="20" t="s">
        <v>133</v>
      </c>
      <c r="C47" s="20" t="s">
        <v>65</v>
      </c>
      <c r="D47" s="21">
        <v>13.333333333333332</v>
      </c>
      <c r="E47" s="20" t="s">
        <v>172</v>
      </c>
      <c r="F47" s="20" t="s">
        <v>43</v>
      </c>
      <c r="G47" s="21">
        <v>13.333333333333332</v>
      </c>
    </row>
    <row r="48" spans="2:7" x14ac:dyDescent="0.25">
      <c r="B48" s="20" t="s">
        <v>134</v>
      </c>
      <c r="C48" s="20" t="s">
        <v>103</v>
      </c>
      <c r="D48" s="21">
        <v>10</v>
      </c>
      <c r="E48" s="20" t="s">
        <v>173</v>
      </c>
      <c r="F48" s="20" t="s">
        <v>43</v>
      </c>
      <c r="G48" s="21">
        <v>10</v>
      </c>
    </row>
    <row r="49" spans="2:7" x14ac:dyDescent="0.25">
      <c r="B49" s="20" t="s">
        <v>135</v>
      </c>
      <c r="C49" s="20" t="s">
        <v>104</v>
      </c>
      <c r="D49" s="21">
        <v>3.333333333333333</v>
      </c>
      <c r="E49" s="20" t="s">
        <v>174</v>
      </c>
      <c r="F49" s="20" t="s">
        <v>43</v>
      </c>
      <c r="G49" s="21">
        <v>3.333333333333333</v>
      </c>
    </row>
  </sheetData>
  <pageMargins left="0.25" right="0.25" top="0.75" bottom="0.75" header="0.3" footer="0.3"/>
  <pageSetup scale="8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3838-33A4-4196-BD8A-D72246AB0904}">
  <sheetPr>
    <tabColor rgb="FFFFFF00"/>
  </sheetPr>
  <dimension ref="B2:L22"/>
  <sheetViews>
    <sheetView zoomScale="69" zoomScaleNormal="69" workbookViewId="0">
      <selection activeCell="L20" sqref="L20"/>
    </sheetView>
  </sheetViews>
  <sheetFormatPr defaultColWidth="8.77734375" defaultRowHeight="14.4" x14ac:dyDescent="0.3"/>
  <cols>
    <col min="1" max="1" width="3" style="1" customWidth="1"/>
    <col min="2" max="2" width="23.5546875" style="1" customWidth="1"/>
    <col min="3" max="16384" width="8.77734375" style="1"/>
  </cols>
  <sheetData>
    <row r="2" spans="2:12" ht="15.6" x14ac:dyDescent="0.3">
      <c r="B2" s="4" t="s">
        <v>0</v>
      </c>
      <c r="C2" s="4" t="s">
        <v>1</v>
      </c>
      <c r="D2" s="4" t="s">
        <v>2</v>
      </c>
      <c r="E2" s="4" t="s">
        <v>47</v>
      </c>
      <c r="F2" s="4" t="s">
        <v>64</v>
      </c>
      <c r="G2" s="4" t="s">
        <v>65</v>
      </c>
      <c r="H2" s="4" t="s">
        <v>103</v>
      </c>
      <c r="I2" s="4" t="s">
        <v>104</v>
      </c>
      <c r="J2" s="4" t="s">
        <v>3</v>
      </c>
      <c r="K2" s="23"/>
      <c r="L2" s="23"/>
    </row>
    <row r="3" spans="2:12" ht="15.6" x14ac:dyDescent="0.3">
      <c r="B3" s="7" t="s">
        <v>4</v>
      </c>
      <c r="C3" s="7">
        <v>1</v>
      </c>
      <c r="D3" s="7">
        <v>1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24">
        <f>C3*$C$22+D3*$D$22+E3*$E$22+F3*$F$22+G3*$G$22+H3*$H$22+I3*$I$22</f>
        <v>73.333333333333329</v>
      </c>
      <c r="K3" s="23"/>
      <c r="L3" s="23"/>
    </row>
    <row r="4" spans="2:12" ht="15.6" x14ac:dyDescent="0.3">
      <c r="B4" s="7" t="s">
        <v>105</v>
      </c>
      <c r="C4" s="7">
        <v>1</v>
      </c>
      <c r="D4" s="7">
        <v>0</v>
      </c>
      <c r="E4" s="7">
        <v>0</v>
      </c>
      <c r="F4" s="7">
        <v>1</v>
      </c>
      <c r="G4" s="7">
        <v>1</v>
      </c>
      <c r="H4" s="7">
        <v>1</v>
      </c>
      <c r="I4" s="7">
        <v>1</v>
      </c>
      <c r="J4" s="24">
        <f t="shared" ref="J4:J18" si="0">C4*$C$22+D4*$D$22+E4*$E$22+F4*$F$22+G4*$G$22+H4*$H$22+I4*$I$22</f>
        <v>46.666666666666664</v>
      </c>
      <c r="K4" s="7" t="s">
        <v>70</v>
      </c>
      <c r="L4" s="7">
        <v>35</v>
      </c>
    </row>
    <row r="5" spans="2:12" ht="15.6" x14ac:dyDescent="0.3">
      <c r="B5" s="41" t="s">
        <v>106</v>
      </c>
      <c r="C5" s="7">
        <v>1</v>
      </c>
      <c r="D5" s="7">
        <v>1</v>
      </c>
      <c r="E5" s="7">
        <v>0</v>
      </c>
      <c r="F5" s="7">
        <v>0</v>
      </c>
      <c r="G5" s="7">
        <v>1</v>
      </c>
      <c r="H5" s="7">
        <v>1</v>
      </c>
      <c r="I5" s="7">
        <v>1</v>
      </c>
      <c r="J5" s="24">
        <f t="shared" si="0"/>
        <v>55</v>
      </c>
      <c r="K5" s="7" t="s">
        <v>70</v>
      </c>
      <c r="L5" s="7">
        <v>55</v>
      </c>
    </row>
    <row r="6" spans="2:12" ht="15.6" x14ac:dyDescent="0.3">
      <c r="B6" s="41"/>
      <c r="C6" s="7">
        <v>1</v>
      </c>
      <c r="D6" s="7">
        <v>1</v>
      </c>
      <c r="E6" s="7">
        <v>1</v>
      </c>
      <c r="F6" s="7">
        <v>0</v>
      </c>
      <c r="G6" s="7">
        <v>0</v>
      </c>
      <c r="H6" s="7">
        <v>1</v>
      </c>
      <c r="I6" s="7">
        <v>1</v>
      </c>
      <c r="J6" s="24">
        <f t="shared" si="0"/>
        <v>60</v>
      </c>
      <c r="K6" s="7" t="s">
        <v>70</v>
      </c>
      <c r="L6" s="7">
        <v>60</v>
      </c>
    </row>
    <row r="7" spans="2:12" ht="15.6" x14ac:dyDescent="0.3">
      <c r="B7" s="41"/>
      <c r="C7" s="7">
        <v>1</v>
      </c>
      <c r="D7" s="7">
        <v>1</v>
      </c>
      <c r="E7" s="7">
        <v>1</v>
      </c>
      <c r="F7" s="7">
        <v>1</v>
      </c>
      <c r="G7" s="7">
        <v>0</v>
      </c>
      <c r="H7" s="7">
        <v>0</v>
      </c>
      <c r="I7" s="7">
        <v>1</v>
      </c>
      <c r="J7" s="24">
        <f t="shared" si="0"/>
        <v>50</v>
      </c>
      <c r="K7" s="7" t="s">
        <v>70</v>
      </c>
      <c r="L7" s="7">
        <v>50</v>
      </c>
    </row>
    <row r="8" spans="2:12" ht="15.6" x14ac:dyDescent="0.3">
      <c r="B8" s="41"/>
      <c r="C8" s="7">
        <v>1</v>
      </c>
      <c r="D8" s="7">
        <v>1</v>
      </c>
      <c r="E8" s="7">
        <v>1</v>
      </c>
      <c r="F8" s="7">
        <v>1</v>
      </c>
      <c r="G8" s="7">
        <v>1</v>
      </c>
      <c r="H8" s="7">
        <v>0</v>
      </c>
      <c r="I8" s="7">
        <v>0</v>
      </c>
      <c r="J8" s="24">
        <f t="shared" si="0"/>
        <v>60</v>
      </c>
      <c r="K8" s="7" t="s">
        <v>70</v>
      </c>
      <c r="L8" s="7">
        <v>60</v>
      </c>
    </row>
    <row r="9" spans="2:12" ht="15.6" x14ac:dyDescent="0.3">
      <c r="B9" s="41"/>
      <c r="C9" s="7">
        <v>0</v>
      </c>
      <c r="D9" s="7">
        <v>1</v>
      </c>
      <c r="E9" s="7">
        <v>1</v>
      </c>
      <c r="F9" s="7">
        <v>1</v>
      </c>
      <c r="G9" s="7">
        <v>1</v>
      </c>
      <c r="H9" s="7">
        <v>1</v>
      </c>
      <c r="I9" s="7">
        <v>0</v>
      </c>
      <c r="J9" s="24">
        <f t="shared" si="0"/>
        <v>50</v>
      </c>
      <c r="K9" s="7" t="s">
        <v>70</v>
      </c>
      <c r="L9" s="7">
        <v>50</v>
      </c>
    </row>
    <row r="10" spans="2:12" ht="15.6" x14ac:dyDescent="0.3">
      <c r="B10" s="41"/>
      <c r="C10" s="7">
        <v>0</v>
      </c>
      <c r="D10" s="7">
        <v>0</v>
      </c>
      <c r="E10" s="7">
        <v>1</v>
      </c>
      <c r="F10" s="7">
        <v>1</v>
      </c>
      <c r="G10" s="7">
        <v>1</v>
      </c>
      <c r="H10" s="7">
        <v>1</v>
      </c>
      <c r="I10" s="7">
        <v>1</v>
      </c>
      <c r="J10" s="24">
        <f t="shared" si="0"/>
        <v>45</v>
      </c>
      <c r="K10" s="7" t="s">
        <v>70</v>
      </c>
      <c r="L10" s="7">
        <v>45</v>
      </c>
    </row>
    <row r="11" spans="2:12" ht="15.6" x14ac:dyDescent="0.3">
      <c r="B11" s="23"/>
      <c r="C11" s="25"/>
      <c r="D11" s="25"/>
      <c r="E11" s="25"/>
      <c r="F11" s="25"/>
      <c r="G11" s="25"/>
      <c r="H11" s="25"/>
      <c r="I11" s="25"/>
      <c r="J11" s="26"/>
      <c r="K11" s="23"/>
      <c r="L11" s="23"/>
    </row>
    <row r="12" spans="2:12" ht="15.6" x14ac:dyDescent="0.3">
      <c r="B12" s="7" t="s">
        <v>107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24">
        <f t="shared" si="0"/>
        <v>20</v>
      </c>
      <c r="K12" s="7" t="s">
        <v>68</v>
      </c>
      <c r="L12" s="7">
        <v>40</v>
      </c>
    </row>
    <row r="13" spans="2:12" ht="15.6" x14ac:dyDescent="0.3">
      <c r="B13" s="41" t="s">
        <v>108</v>
      </c>
      <c r="C13" s="7">
        <v>0</v>
      </c>
      <c r="D13" s="7">
        <v>1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24">
        <f t="shared" si="0"/>
        <v>8.3333333333333321</v>
      </c>
      <c r="K13" s="7" t="s">
        <v>68</v>
      </c>
      <c r="L13" s="7">
        <v>40</v>
      </c>
    </row>
    <row r="14" spans="2:12" ht="15.6" x14ac:dyDescent="0.3">
      <c r="B14" s="41"/>
      <c r="C14" s="7">
        <v>0</v>
      </c>
      <c r="D14" s="7">
        <v>0</v>
      </c>
      <c r="E14" s="7">
        <v>1</v>
      </c>
      <c r="F14" s="7">
        <v>0</v>
      </c>
      <c r="G14" s="7">
        <v>0</v>
      </c>
      <c r="H14" s="7">
        <v>0</v>
      </c>
      <c r="I14" s="7">
        <v>0</v>
      </c>
      <c r="J14" s="24">
        <f t="shared" si="0"/>
        <v>18.333333333333332</v>
      </c>
      <c r="K14" s="7" t="s">
        <v>68</v>
      </c>
      <c r="L14" s="7">
        <v>40</v>
      </c>
    </row>
    <row r="15" spans="2:12" ht="15.6" x14ac:dyDescent="0.3">
      <c r="B15" s="41"/>
      <c r="C15" s="7">
        <v>0</v>
      </c>
      <c r="D15" s="7">
        <v>0</v>
      </c>
      <c r="E15" s="7">
        <v>0</v>
      </c>
      <c r="F15" s="7">
        <v>1</v>
      </c>
      <c r="G15" s="7">
        <v>0</v>
      </c>
      <c r="H15" s="7">
        <v>0</v>
      </c>
      <c r="I15" s="7">
        <v>0</v>
      </c>
      <c r="J15" s="24">
        <f t="shared" si="0"/>
        <v>0</v>
      </c>
      <c r="K15" s="7" t="s">
        <v>68</v>
      </c>
      <c r="L15" s="7">
        <v>40</v>
      </c>
    </row>
    <row r="16" spans="2:12" ht="15.6" x14ac:dyDescent="0.3">
      <c r="B16" s="41"/>
      <c r="C16" s="7">
        <v>0</v>
      </c>
      <c r="D16" s="7">
        <v>0</v>
      </c>
      <c r="E16" s="7">
        <v>0</v>
      </c>
      <c r="F16" s="7">
        <v>0</v>
      </c>
      <c r="G16" s="7">
        <v>1</v>
      </c>
      <c r="H16" s="7">
        <v>0</v>
      </c>
      <c r="I16" s="7">
        <v>0</v>
      </c>
      <c r="J16" s="24">
        <f t="shared" si="0"/>
        <v>13.333333333333332</v>
      </c>
      <c r="K16" s="7" t="s">
        <v>68</v>
      </c>
      <c r="L16" s="7">
        <v>40</v>
      </c>
    </row>
    <row r="17" spans="2:12" ht="15.6" x14ac:dyDescent="0.3">
      <c r="B17" s="41"/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1</v>
      </c>
      <c r="I17" s="7">
        <v>0</v>
      </c>
      <c r="J17" s="24">
        <f t="shared" si="0"/>
        <v>10</v>
      </c>
      <c r="K17" s="7" t="s">
        <v>68</v>
      </c>
      <c r="L17" s="7">
        <v>40</v>
      </c>
    </row>
    <row r="18" spans="2:12" ht="15.6" x14ac:dyDescent="0.3">
      <c r="B18" s="41"/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24">
        <f t="shared" si="0"/>
        <v>3.333333333333333</v>
      </c>
      <c r="K18" s="7" t="s">
        <v>68</v>
      </c>
      <c r="L18" s="7">
        <v>40</v>
      </c>
    </row>
    <row r="19" spans="2:12" ht="15.6" x14ac:dyDescent="0.3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2:12" ht="18" x14ac:dyDescent="0.3">
      <c r="B20" s="23"/>
      <c r="C20" s="38" t="s">
        <v>9</v>
      </c>
      <c r="D20" s="38"/>
      <c r="E20" s="38"/>
      <c r="F20" s="38"/>
      <c r="G20" s="38"/>
      <c r="H20" s="38"/>
      <c r="I20" s="38"/>
      <c r="J20" s="23"/>
      <c r="K20" s="23"/>
      <c r="L20" s="23" t="s">
        <v>220</v>
      </c>
    </row>
    <row r="21" spans="2:12" ht="18" x14ac:dyDescent="0.3">
      <c r="B21" s="23"/>
      <c r="C21" s="17" t="s">
        <v>1</v>
      </c>
      <c r="D21" s="17" t="s">
        <v>2</v>
      </c>
      <c r="E21" s="17" t="s">
        <v>47</v>
      </c>
      <c r="F21" s="17" t="s">
        <v>64</v>
      </c>
      <c r="G21" s="17" t="s">
        <v>65</v>
      </c>
      <c r="H21" s="17" t="s">
        <v>103</v>
      </c>
      <c r="I21" s="17" t="s">
        <v>104</v>
      </c>
      <c r="J21" s="23"/>
      <c r="K21" s="23"/>
      <c r="L21" s="23"/>
    </row>
    <row r="22" spans="2:12" ht="18" x14ac:dyDescent="0.3">
      <c r="B22" s="23"/>
      <c r="C22" s="27">
        <v>20</v>
      </c>
      <c r="D22" s="27">
        <v>8.3333333333333321</v>
      </c>
      <c r="E22" s="27">
        <v>18.333333333333332</v>
      </c>
      <c r="F22" s="27">
        <v>0</v>
      </c>
      <c r="G22" s="27">
        <v>13.333333333333332</v>
      </c>
      <c r="H22" s="27">
        <v>10</v>
      </c>
      <c r="I22" s="27">
        <v>3.333333333333333</v>
      </c>
      <c r="J22" s="23"/>
      <c r="K22" s="23"/>
      <c r="L22" s="23"/>
    </row>
  </sheetData>
  <mergeCells count="3">
    <mergeCell ref="B5:B10"/>
    <mergeCell ref="B13:B18"/>
    <mergeCell ref="C20:I20"/>
  </mergeCells>
  <pageMargins left="0.7" right="0.7" top="0.75" bottom="0.75" header="0.3" footer="0.3"/>
  <pageSetup scale="7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91384-9AB8-433B-BEA5-E0C7AC477C08}">
  <sheetPr>
    <tabColor rgb="FFFFFF00"/>
  </sheetPr>
  <dimension ref="A1:G43"/>
  <sheetViews>
    <sheetView showGridLines="0" zoomScale="89" zoomScaleNormal="41" workbookViewId="0">
      <selection activeCell="C2" sqref="C2"/>
    </sheetView>
  </sheetViews>
  <sheetFormatPr defaultColWidth="8.77734375" defaultRowHeight="14.4" x14ac:dyDescent="0.3"/>
  <cols>
    <col min="1" max="1" width="2.21875" style="1" customWidth="1"/>
    <col min="2" max="2" width="7.5546875" style="1" customWidth="1"/>
    <col min="3" max="3" width="20.33203125" style="1" bestFit="1" customWidth="1"/>
    <col min="4" max="4" width="12.44140625" style="1" bestFit="1" customWidth="1"/>
    <col min="5" max="5" width="14" style="1" customWidth="1"/>
    <col min="6" max="6" width="11.5546875" style="1" customWidth="1"/>
    <col min="7" max="7" width="5" style="1" bestFit="1" customWidth="1"/>
    <col min="8" max="8" width="8.77734375" style="1"/>
    <col min="9" max="9" width="7.33203125" style="1" customWidth="1"/>
    <col min="10" max="10" width="1.44140625" style="1" customWidth="1"/>
    <col min="11" max="16384" width="8.77734375" style="1"/>
  </cols>
  <sheetData>
    <row r="1" spans="1:5" x14ac:dyDescent="0.3">
      <c r="A1" s="1" t="s">
        <v>10</v>
      </c>
    </row>
    <row r="2" spans="1:5" x14ac:dyDescent="0.3">
      <c r="A2" s="1" t="s">
        <v>183</v>
      </c>
      <c r="C2" s="1" t="s">
        <v>226</v>
      </c>
    </row>
    <row r="3" spans="1:5" x14ac:dyDescent="0.3">
      <c r="A3" s="1" t="s">
        <v>184</v>
      </c>
    </row>
    <row r="4" spans="1:5" x14ac:dyDescent="0.3">
      <c r="A4" s="1" t="s">
        <v>11</v>
      </c>
    </row>
    <row r="5" spans="1:5" x14ac:dyDescent="0.3">
      <c r="A5" s="1" t="s">
        <v>12</v>
      </c>
    </row>
    <row r="6" spans="1:5" x14ac:dyDescent="0.3">
      <c r="B6" s="1" t="s">
        <v>13</v>
      </c>
    </row>
    <row r="7" spans="1:5" x14ac:dyDescent="0.3">
      <c r="B7" s="1" t="s">
        <v>14</v>
      </c>
    </row>
    <row r="8" spans="1:5" x14ac:dyDescent="0.3">
      <c r="B8" s="1" t="s">
        <v>185</v>
      </c>
    </row>
    <row r="9" spans="1:5" x14ac:dyDescent="0.3">
      <c r="A9" s="1" t="s">
        <v>16</v>
      </c>
    </row>
    <row r="10" spans="1:5" x14ac:dyDescent="0.3">
      <c r="B10" s="1" t="s">
        <v>17</v>
      </c>
    </row>
    <row r="11" spans="1:5" x14ac:dyDescent="0.3">
      <c r="B11" s="1" t="s">
        <v>18</v>
      </c>
    </row>
    <row r="14" spans="1:5" x14ac:dyDescent="0.3">
      <c r="A14" s="1" t="s">
        <v>96</v>
      </c>
    </row>
    <row r="15" spans="1:5" x14ac:dyDescent="0.3">
      <c r="B15" s="18" t="s">
        <v>20</v>
      </c>
      <c r="C15" s="18" t="s">
        <v>21</v>
      </c>
      <c r="D15" s="18" t="s">
        <v>22</v>
      </c>
      <c r="E15" s="18" t="s">
        <v>23</v>
      </c>
    </row>
    <row r="16" spans="1:5" x14ac:dyDescent="0.3">
      <c r="B16" s="19" t="s">
        <v>186</v>
      </c>
      <c r="C16" s="19" t="s">
        <v>32</v>
      </c>
      <c r="D16" s="19">
        <v>12438.900000000001</v>
      </c>
      <c r="E16" s="19">
        <v>12438.900000000001</v>
      </c>
    </row>
    <row r="19" spans="1:7" x14ac:dyDescent="0.3">
      <c r="A19" s="1" t="s">
        <v>24</v>
      </c>
    </row>
    <row r="20" spans="1:7" x14ac:dyDescent="0.3">
      <c r="B20" s="18" t="s">
        <v>20</v>
      </c>
      <c r="C20" s="18" t="s">
        <v>21</v>
      </c>
      <c r="D20" s="18" t="s">
        <v>22</v>
      </c>
      <c r="E20" s="18" t="s">
        <v>23</v>
      </c>
      <c r="F20" s="18" t="s">
        <v>25</v>
      </c>
    </row>
    <row r="21" spans="1:7" x14ac:dyDescent="0.3">
      <c r="B21" s="19" t="s">
        <v>187</v>
      </c>
      <c r="C21" s="19" t="s">
        <v>1</v>
      </c>
      <c r="D21" s="19">
        <v>750</v>
      </c>
      <c r="E21" s="19">
        <v>750</v>
      </c>
      <c r="F21" s="19" t="s">
        <v>34</v>
      </c>
    </row>
    <row r="22" spans="1:7" x14ac:dyDescent="0.3">
      <c r="B22" s="19" t="s">
        <v>188</v>
      </c>
      <c r="C22" s="19" t="s">
        <v>2</v>
      </c>
      <c r="D22" s="19">
        <v>0</v>
      </c>
      <c r="E22" s="19">
        <v>0</v>
      </c>
      <c r="F22" s="19" t="s">
        <v>34</v>
      </c>
    </row>
    <row r="23" spans="1:7" x14ac:dyDescent="0.3">
      <c r="B23" s="19" t="s">
        <v>189</v>
      </c>
      <c r="C23" s="19" t="s">
        <v>47</v>
      </c>
      <c r="D23" s="19">
        <v>690</v>
      </c>
      <c r="E23" s="19">
        <v>690</v>
      </c>
      <c r="F23" s="19" t="s">
        <v>34</v>
      </c>
    </row>
    <row r="24" spans="1:7" x14ac:dyDescent="0.3">
      <c r="B24" s="19" t="s">
        <v>190</v>
      </c>
      <c r="C24" s="19" t="s">
        <v>64</v>
      </c>
      <c r="D24" s="19">
        <v>0</v>
      </c>
      <c r="E24" s="19">
        <v>0</v>
      </c>
      <c r="F24" s="19" t="s">
        <v>34</v>
      </c>
    </row>
    <row r="25" spans="1:7" x14ac:dyDescent="0.3">
      <c r="B25" s="19" t="s">
        <v>142</v>
      </c>
      <c r="C25" s="19" t="s">
        <v>65</v>
      </c>
      <c r="D25" s="19">
        <v>1500</v>
      </c>
      <c r="E25" s="19">
        <v>1500</v>
      </c>
      <c r="F25" s="19" t="s">
        <v>34</v>
      </c>
    </row>
    <row r="26" spans="1:7" x14ac:dyDescent="0.3">
      <c r="B26" s="19" t="s">
        <v>191</v>
      </c>
      <c r="C26" s="19" t="s">
        <v>103</v>
      </c>
      <c r="D26" s="19">
        <v>810</v>
      </c>
      <c r="E26" s="19">
        <v>810</v>
      </c>
      <c r="F26" s="19" t="s">
        <v>34</v>
      </c>
    </row>
    <row r="29" spans="1:7" x14ac:dyDescent="0.3">
      <c r="A29" s="1" t="s">
        <v>26</v>
      </c>
    </row>
    <row r="30" spans="1:7" x14ac:dyDescent="0.3">
      <c r="B30" s="18" t="s">
        <v>20</v>
      </c>
      <c r="C30" s="18" t="s">
        <v>21</v>
      </c>
      <c r="D30" s="18" t="s">
        <v>27</v>
      </c>
      <c r="E30" s="18" t="s">
        <v>28</v>
      </c>
      <c r="F30" s="18" t="s">
        <v>29</v>
      </c>
      <c r="G30" s="18" t="s">
        <v>30</v>
      </c>
    </row>
    <row r="31" spans="1:7" x14ac:dyDescent="0.3">
      <c r="B31" s="19" t="s">
        <v>192</v>
      </c>
      <c r="C31" s="19" t="s">
        <v>193</v>
      </c>
      <c r="D31" s="19">
        <v>750</v>
      </c>
      <c r="E31" s="19" t="s">
        <v>194</v>
      </c>
      <c r="F31" s="19" t="s">
        <v>39</v>
      </c>
      <c r="G31" s="19">
        <v>0</v>
      </c>
    </row>
    <row r="32" spans="1:7" x14ac:dyDescent="0.3">
      <c r="B32" s="19" t="s">
        <v>195</v>
      </c>
      <c r="C32" s="19" t="s">
        <v>196</v>
      </c>
      <c r="D32" s="19">
        <v>1500</v>
      </c>
      <c r="E32" s="19" t="s">
        <v>197</v>
      </c>
      <c r="F32" s="19" t="s">
        <v>39</v>
      </c>
      <c r="G32" s="19">
        <v>0</v>
      </c>
    </row>
    <row r="33" spans="2:7" x14ac:dyDescent="0.3">
      <c r="B33" s="19" t="s">
        <v>198</v>
      </c>
      <c r="C33" s="19" t="s">
        <v>199</v>
      </c>
      <c r="D33" s="19">
        <v>1500</v>
      </c>
      <c r="E33" s="19" t="s">
        <v>200</v>
      </c>
      <c r="F33" s="19" t="s">
        <v>39</v>
      </c>
      <c r="G33" s="19">
        <v>0</v>
      </c>
    </row>
    <row r="34" spans="2:7" x14ac:dyDescent="0.3">
      <c r="B34" s="19" t="s">
        <v>201</v>
      </c>
      <c r="C34" s="19" t="s">
        <v>202</v>
      </c>
      <c r="D34" s="19">
        <v>1440</v>
      </c>
      <c r="E34" s="19" t="s">
        <v>203</v>
      </c>
      <c r="F34" s="19" t="s">
        <v>43</v>
      </c>
      <c r="G34" s="19">
        <v>1560</v>
      </c>
    </row>
    <row r="35" spans="2:7" x14ac:dyDescent="0.3">
      <c r="B35" s="19" t="s">
        <v>204</v>
      </c>
      <c r="C35" s="19" t="s">
        <v>205</v>
      </c>
      <c r="D35" s="19">
        <v>1440</v>
      </c>
      <c r="E35" s="19" t="s">
        <v>206</v>
      </c>
      <c r="F35" s="19" t="s">
        <v>39</v>
      </c>
      <c r="G35" s="19">
        <v>0</v>
      </c>
    </row>
    <row r="36" spans="2:7" x14ac:dyDescent="0.3">
      <c r="B36" s="19" t="s">
        <v>207</v>
      </c>
      <c r="C36" s="19" t="s">
        <v>208</v>
      </c>
      <c r="D36" s="19">
        <v>2310</v>
      </c>
      <c r="E36" s="19" t="s">
        <v>209</v>
      </c>
      <c r="F36" s="19" t="s">
        <v>43</v>
      </c>
      <c r="G36" s="19">
        <v>1690</v>
      </c>
    </row>
    <row r="37" spans="2:7" x14ac:dyDescent="0.3">
      <c r="B37" s="19" t="s">
        <v>210</v>
      </c>
      <c r="C37" s="19" t="s">
        <v>211</v>
      </c>
      <c r="D37" s="19">
        <v>2310</v>
      </c>
      <c r="E37" s="19" t="s">
        <v>212</v>
      </c>
      <c r="F37" s="19" t="s">
        <v>43</v>
      </c>
      <c r="G37" s="19">
        <v>1290</v>
      </c>
    </row>
    <row r="38" spans="2:7" x14ac:dyDescent="0.3">
      <c r="B38" s="19" t="s">
        <v>187</v>
      </c>
      <c r="C38" s="19" t="s">
        <v>1</v>
      </c>
      <c r="D38" s="19">
        <v>750</v>
      </c>
      <c r="E38" s="19" t="s">
        <v>213</v>
      </c>
      <c r="F38" s="19" t="s">
        <v>43</v>
      </c>
      <c r="G38" s="19">
        <v>750</v>
      </c>
    </row>
    <row r="39" spans="2:7" x14ac:dyDescent="0.3">
      <c r="B39" s="19" t="s">
        <v>188</v>
      </c>
      <c r="C39" s="19" t="s">
        <v>2</v>
      </c>
      <c r="D39" s="19">
        <v>0</v>
      </c>
      <c r="E39" s="19" t="s">
        <v>214</v>
      </c>
      <c r="F39" s="19" t="s">
        <v>39</v>
      </c>
      <c r="G39" s="19">
        <v>0</v>
      </c>
    </row>
    <row r="40" spans="2:7" x14ac:dyDescent="0.3">
      <c r="B40" s="19" t="s">
        <v>189</v>
      </c>
      <c r="C40" s="19" t="s">
        <v>47</v>
      </c>
      <c r="D40" s="19">
        <v>690</v>
      </c>
      <c r="E40" s="19" t="s">
        <v>215</v>
      </c>
      <c r="F40" s="19" t="s">
        <v>43</v>
      </c>
      <c r="G40" s="19">
        <v>690</v>
      </c>
    </row>
    <row r="41" spans="2:7" x14ac:dyDescent="0.3">
      <c r="B41" s="19" t="s">
        <v>190</v>
      </c>
      <c r="C41" s="19" t="s">
        <v>64</v>
      </c>
      <c r="D41" s="19">
        <v>0</v>
      </c>
      <c r="E41" s="19" t="s">
        <v>216</v>
      </c>
      <c r="F41" s="19" t="s">
        <v>39</v>
      </c>
      <c r="G41" s="19">
        <v>0</v>
      </c>
    </row>
    <row r="42" spans="2:7" x14ac:dyDescent="0.3">
      <c r="B42" s="19" t="s">
        <v>142</v>
      </c>
      <c r="C42" s="19" t="s">
        <v>65</v>
      </c>
      <c r="D42" s="19">
        <v>1500</v>
      </c>
      <c r="E42" s="19" t="s">
        <v>217</v>
      </c>
      <c r="F42" s="19" t="s">
        <v>43</v>
      </c>
      <c r="G42" s="19">
        <v>1500</v>
      </c>
    </row>
    <row r="43" spans="2:7" x14ac:dyDescent="0.3">
      <c r="B43" s="19" t="s">
        <v>191</v>
      </c>
      <c r="C43" s="19" t="s">
        <v>103</v>
      </c>
      <c r="D43" s="19">
        <v>810</v>
      </c>
      <c r="E43" s="19" t="s">
        <v>218</v>
      </c>
      <c r="F43" s="19" t="s">
        <v>43</v>
      </c>
      <c r="G43" s="19">
        <v>810</v>
      </c>
    </row>
  </sheetData>
  <pageMargins left="0.7" right="0.7" top="0.75" bottom="0.75" header="0.3" footer="0.3"/>
  <pageSetup scale="9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4313-C81E-494F-AB3F-3111E76AF233}">
  <sheetPr>
    <tabColor rgb="FFFFFF00"/>
  </sheetPr>
  <dimension ref="B2:K14"/>
  <sheetViews>
    <sheetView tabSelected="1" topLeftCell="B1" zoomScale="111" zoomScaleNormal="63" workbookViewId="0">
      <selection activeCell="M15" sqref="M15"/>
    </sheetView>
  </sheetViews>
  <sheetFormatPr defaultColWidth="8.77734375" defaultRowHeight="14.4" x14ac:dyDescent="0.3"/>
  <cols>
    <col min="1" max="1" width="2.5546875" style="1" customWidth="1"/>
    <col min="2" max="2" width="24.21875" style="1" customWidth="1"/>
    <col min="3" max="9" width="8.77734375" style="1"/>
    <col min="10" max="10" width="8.21875" style="1" customWidth="1"/>
    <col min="11" max="16384" width="8.77734375" style="1"/>
  </cols>
  <sheetData>
    <row r="2" spans="2:11" ht="15.6" x14ac:dyDescent="0.3">
      <c r="B2" s="28" t="s">
        <v>0</v>
      </c>
      <c r="C2" s="28" t="s">
        <v>1</v>
      </c>
      <c r="D2" s="28" t="s">
        <v>2</v>
      </c>
      <c r="E2" s="28" t="s">
        <v>47</v>
      </c>
      <c r="F2" s="28" t="s">
        <v>64</v>
      </c>
      <c r="G2" s="28" t="s">
        <v>65</v>
      </c>
      <c r="H2" s="28" t="s">
        <v>103</v>
      </c>
      <c r="I2" s="28" t="s">
        <v>3</v>
      </c>
      <c r="J2" s="6"/>
      <c r="K2" s="6"/>
    </row>
    <row r="3" spans="2:11" ht="15.6" x14ac:dyDescent="0.3">
      <c r="B3" s="29" t="s">
        <v>4</v>
      </c>
      <c r="C3" s="29">
        <v>2.98</v>
      </c>
      <c r="D3" s="29">
        <v>3.78</v>
      </c>
      <c r="E3" s="29">
        <v>3.28</v>
      </c>
      <c r="F3" s="29">
        <v>3.22</v>
      </c>
      <c r="G3" s="29">
        <v>3.42</v>
      </c>
      <c r="H3" s="29">
        <v>3.47</v>
      </c>
      <c r="I3" s="29">
        <f>C3*$F$14+D3*$G$14+E3*$H$14+F3*$I$14+G3*$J$14+H3*$K$14</f>
        <v>12438.900000000001</v>
      </c>
      <c r="J3" s="6"/>
      <c r="K3" s="6"/>
    </row>
    <row r="4" spans="2:11" ht="15.6" x14ac:dyDescent="0.3">
      <c r="B4" s="29" t="s">
        <v>175</v>
      </c>
      <c r="C4" s="29">
        <v>1</v>
      </c>
      <c r="D4" s="29">
        <v>0</v>
      </c>
      <c r="E4" s="29">
        <v>0</v>
      </c>
      <c r="F4" s="29">
        <v>1</v>
      </c>
      <c r="G4" s="29">
        <v>0</v>
      </c>
      <c r="H4" s="29">
        <v>0</v>
      </c>
      <c r="I4" s="29">
        <f t="shared" ref="I4:I10" si="0">C4*$F$14+D4*$G$14+E4*$H$14+F4*$I$14+G4*$J$14+H4*$K$14</f>
        <v>750</v>
      </c>
      <c r="J4" s="29" t="s">
        <v>176</v>
      </c>
      <c r="K4" s="29">
        <v>750</v>
      </c>
    </row>
    <row r="5" spans="2:11" ht="15.6" x14ac:dyDescent="0.3">
      <c r="B5" s="29" t="s">
        <v>177</v>
      </c>
      <c r="C5" s="29">
        <v>0</v>
      </c>
      <c r="D5" s="29">
        <v>1</v>
      </c>
      <c r="E5" s="29">
        <v>0</v>
      </c>
      <c r="F5" s="29">
        <v>0</v>
      </c>
      <c r="G5" s="29">
        <v>1</v>
      </c>
      <c r="H5" s="29">
        <v>0</v>
      </c>
      <c r="I5" s="29">
        <f t="shared" si="0"/>
        <v>1500</v>
      </c>
      <c r="J5" s="29" t="s">
        <v>176</v>
      </c>
      <c r="K5" s="29">
        <v>1500</v>
      </c>
    </row>
    <row r="6" spans="2:11" ht="15.6" x14ac:dyDescent="0.3">
      <c r="B6" s="29" t="s">
        <v>178</v>
      </c>
      <c r="C6" s="29">
        <v>0</v>
      </c>
      <c r="D6" s="29">
        <v>0</v>
      </c>
      <c r="E6" s="29">
        <v>1</v>
      </c>
      <c r="F6" s="29">
        <v>0</v>
      </c>
      <c r="G6" s="29">
        <v>0</v>
      </c>
      <c r="H6" s="29">
        <v>1</v>
      </c>
      <c r="I6" s="29">
        <f t="shared" si="0"/>
        <v>1500</v>
      </c>
      <c r="J6" s="29" t="s">
        <v>176</v>
      </c>
      <c r="K6" s="29">
        <v>1500</v>
      </c>
    </row>
    <row r="7" spans="2:11" ht="15.6" x14ac:dyDescent="0.3">
      <c r="B7" s="29" t="s">
        <v>179</v>
      </c>
      <c r="C7" s="29">
        <v>1</v>
      </c>
      <c r="D7" s="29">
        <v>1</v>
      </c>
      <c r="E7" s="29">
        <v>1</v>
      </c>
      <c r="F7" s="29">
        <v>0</v>
      </c>
      <c r="G7" s="29">
        <v>0</v>
      </c>
      <c r="H7" s="29">
        <v>0</v>
      </c>
      <c r="I7" s="29">
        <f t="shared" si="0"/>
        <v>1440</v>
      </c>
      <c r="J7" s="30" t="s">
        <v>68</v>
      </c>
      <c r="K7" s="29">
        <v>3000</v>
      </c>
    </row>
    <row r="8" spans="2:11" ht="15.6" x14ac:dyDescent="0.3">
      <c r="B8" s="29" t="s">
        <v>180</v>
      </c>
      <c r="C8" s="29">
        <v>1</v>
      </c>
      <c r="D8" s="29">
        <v>1</v>
      </c>
      <c r="E8" s="29">
        <v>1</v>
      </c>
      <c r="F8" s="29">
        <v>0</v>
      </c>
      <c r="G8" s="29">
        <v>0</v>
      </c>
      <c r="H8" s="29">
        <v>0</v>
      </c>
      <c r="I8" s="29">
        <f t="shared" si="0"/>
        <v>1440</v>
      </c>
      <c r="J8" s="30" t="s">
        <v>68</v>
      </c>
      <c r="K8" s="29">
        <v>1440</v>
      </c>
    </row>
    <row r="9" spans="2:11" ht="15.6" x14ac:dyDescent="0.3">
      <c r="B9" s="29" t="s">
        <v>181</v>
      </c>
      <c r="C9" s="29">
        <v>0</v>
      </c>
      <c r="D9" s="29">
        <v>0</v>
      </c>
      <c r="E9" s="29">
        <v>0</v>
      </c>
      <c r="F9" s="29">
        <v>1</v>
      </c>
      <c r="G9" s="29">
        <v>1</v>
      </c>
      <c r="H9" s="29">
        <v>1</v>
      </c>
      <c r="I9" s="29">
        <f t="shared" si="0"/>
        <v>2310</v>
      </c>
      <c r="J9" s="30" t="s">
        <v>68</v>
      </c>
      <c r="K9" s="29">
        <v>4000</v>
      </c>
    </row>
    <row r="10" spans="2:11" ht="15.6" x14ac:dyDescent="0.3">
      <c r="B10" s="29" t="s">
        <v>182</v>
      </c>
      <c r="C10" s="29">
        <v>0</v>
      </c>
      <c r="D10" s="29">
        <v>0</v>
      </c>
      <c r="E10" s="29">
        <v>0</v>
      </c>
      <c r="F10" s="29">
        <v>1</v>
      </c>
      <c r="G10" s="29">
        <v>1</v>
      </c>
      <c r="H10" s="29">
        <v>1</v>
      </c>
      <c r="I10" s="29">
        <f t="shared" si="0"/>
        <v>2310</v>
      </c>
      <c r="J10" s="30" t="s">
        <v>68</v>
      </c>
      <c r="K10" s="29">
        <v>3600</v>
      </c>
    </row>
    <row r="11" spans="2:11" ht="15.6" x14ac:dyDescent="0.3"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2:11" ht="18" x14ac:dyDescent="0.3">
      <c r="B12" s="31"/>
      <c r="C12" s="31"/>
      <c r="D12" s="31"/>
      <c r="E12" s="31"/>
      <c r="F12" s="42" t="s">
        <v>9</v>
      </c>
      <c r="G12" s="42"/>
      <c r="H12" s="42"/>
      <c r="I12" s="42"/>
      <c r="J12" s="42"/>
      <c r="K12" s="42"/>
    </row>
    <row r="13" spans="2:11" ht="18" x14ac:dyDescent="0.3">
      <c r="B13" s="31"/>
      <c r="C13" s="31"/>
      <c r="D13" s="31"/>
      <c r="E13" s="31"/>
      <c r="F13" s="32" t="s">
        <v>1</v>
      </c>
      <c r="G13" s="32" t="s">
        <v>2</v>
      </c>
      <c r="H13" s="32" t="s">
        <v>47</v>
      </c>
      <c r="I13" s="32" t="s">
        <v>64</v>
      </c>
      <c r="J13" s="32" t="s">
        <v>65</v>
      </c>
      <c r="K13" s="32" t="s">
        <v>103</v>
      </c>
    </row>
    <row r="14" spans="2:11" ht="18" x14ac:dyDescent="0.35">
      <c r="B14" s="31"/>
      <c r="C14" s="31"/>
      <c r="D14" s="31"/>
      <c r="E14" s="31"/>
      <c r="F14" s="33">
        <v>750</v>
      </c>
      <c r="G14" s="33">
        <v>0</v>
      </c>
      <c r="H14" s="10">
        <v>690</v>
      </c>
      <c r="I14" s="10">
        <v>0</v>
      </c>
      <c r="J14" s="10">
        <v>1500</v>
      </c>
      <c r="K14" s="10">
        <v>810</v>
      </c>
    </row>
  </sheetData>
  <mergeCells count="1">
    <mergeCell ref="F12:K12"/>
  </mergeCells>
  <pageMargins left="0.7" right="0.7" top="0.75" bottom="0.75" header="0.3" footer="0.3"/>
  <pageSetup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Answer Report EX-2, P1</vt:lpstr>
      <vt:lpstr>EX-2 P1</vt:lpstr>
      <vt:lpstr>Answer Report EX-2 P2</vt:lpstr>
      <vt:lpstr>EX-2 P2</vt:lpstr>
      <vt:lpstr>Answer Report EX-2 P3</vt:lpstr>
      <vt:lpstr>EX-2 P3</vt:lpstr>
      <vt:lpstr>Answer Report EX-3 P1</vt:lpstr>
      <vt:lpstr>EX-3 P1</vt:lpstr>
      <vt:lpstr>Answer Report EX-3 P2</vt:lpstr>
      <vt:lpstr>EX-3 P2</vt:lpstr>
      <vt:lpstr>Answer Report EX-3 P3</vt:lpstr>
      <vt:lpstr>EX-3 P3</vt:lpstr>
      <vt:lpstr>'Answer Report EX-2 P2'!Print_Area</vt:lpstr>
      <vt:lpstr>'Answer Report EX-2 P3'!Print_Area</vt:lpstr>
      <vt:lpstr>'Answer Report EX-2, P1'!Print_Area</vt:lpstr>
      <vt:lpstr>'Answer Report EX-3 P1'!Print_Area</vt:lpstr>
      <vt:lpstr>'Answer Report EX-3 P2'!Print_Area</vt:lpstr>
      <vt:lpstr>'Answer Report EX-3 P3'!Print_Area</vt:lpstr>
      <vt:lpstr>'EX-2 P1'!Print_Area</vt:lpstr>
      <vt:lpstr>'EX-2 P2'!Print_Area</vt:lpstr>
      <vt:lpstr>'EX-2 P3'!Print_Area</vt:lpstr>
      <vt:lpstr>'EX-3 P1'!Print_Area</vt:lpstr>
      <vt:lpstr>'EX-3 P2'!Print_Area</vt:lpstr>
      <vt:lpstr>'EX-3 P3'!Print_Area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Abhi</dc:creator>
  <cp:lastModifiedBy>aryannlodha@gmail.com</cp:lastModifiedBy>
  <cp:lastPrinted>2026-06-21T13:23:37Z</cp:lastPrinted>
  <dcterms:created xsi:type="dcterms:W3CDTF">2026-06-14T06:22:27Z</dcterms:created>
  <dcterms:modified xsi:type="dcterms:W3CDTF">2026-06-22T07:47:58Z</dcterms:modified>
</cp:coreProperties>
</file>