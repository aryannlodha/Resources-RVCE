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ryan\Desktop\Classroom\4th Semester\Operations Research\"/>
    </mc:Choice>
  </mc:AlternateContent>
  <xr:revisionPtr revIDLastSave="0" documentId="13_ncr:1_{28210188-B1C2-4A91-98DA-0D4C7E951310}" xr6:coauthVersionLast="47" xr6:coauthVersionMax="47" xr10:uidLastSave="{00000000-0000-0000-0000-000000000000}"/>
  <bookViews>
    <workbookView xWindow="-108" yWindow="-108" windowWidth="23256" windowHeight="12456" tabRatio="893" firstSheet="11" activeTab="19" xr2:uid="{00000000-000D-0000-FFFF-FFFF00000000}"/>
  </bookViews>
  <sheets>
    <sheet name="Answer Report 1EX-4, P1" sheetId="37" r:id="rId1"/>
    <sheet name="EX-4, P1" sheetId="1" r:id="rId2"/>
    <sheet name="Answer Report 1 EX-4, P2" sheetId="8" r:id="rId3"/>
    <sheet name="EX-4, P2" sheetId="4" r:id="rId4"/>
    <sheet name="Answer Report 1EX-5, P1" sheetId="10" r:id="rId5"/>
    <sheet name="EX-5, P1" sheetId="7" r:id="rId6"/>
    <sheet name="Answer Report 1" sheetId="39" r:id="rId7"/>
    <sheet name="EX-5, P2" sheetId="13" r:id="rId8"/>
    <sheet name="Answer Report 2" sheetId="43" r:id="rId9"/>
    <sheet name="Answer Report 3" sheetId="44" r:id="rId10"/>
    <sheet name="Sensitivity Report 1" sheetId="45" r:id="rId11"/>
    <sheet name="EX-6, P1" sheetId="16" r:id="rId12"/>
    <sheet name="Answer Report 1EX-6, P2" sheetId="26" r:id="rId13"/>
    <sheet name="EX-6, P2" sheetId="25" r:id="rId14"/>
    <sheet name="Answer Report 1 EX-6, P3" sheetId="29" r:id="rId15"/>
    <sheet name="EX-6, P3" sheetId="28" r:id="rId16"/>
    <sheet name="Answer Report 1EX-7, P1" sheetId="32" r:id="rId17"/>
    <sheet name="EX-7, P1" sheetId="31" r:id="rId18"/>
    <sheet name="Answer Report 1EX-7, P2" sheetId="35" r:id="rId19"/>
    <sheet name="EX-7, P2" sheetId="34" r:id="rId20"/>
  </sheets>
  <definedNames>
    <definedName name="_xlnm.Print_Area" localSheetId="2">'Answer Report 1 EX-4, P2'!$A$1:$T$38</definedName>
    <definedName name="_xlnm.Print_Area" localSheetId="14">'Answer Report 1 EX-6, P3'!$A$1:$S$55</definedName>
    <definedName name="_xlnm.Print_Area" localSheetId="4">'Answer Report 1EX-5, P1'!$A$1:$S$35</definedName>
    <definedName name="_xlnm.Print_Area" localSheetId="12">'Answer Report 1EX-6, P2'!$B$2:$T$64</definedName>
    <definedName name="_xlnm.Print_Area" localSheetId="16">'Answer Report 1EX-7, P1'!$A$1:$S$50</definedName>
    <definedName name="_xlnm.Print_Area" localSheetId="18">'Answer Report 1EX-7, P2'!$A$1:$R$50</definedName>
    <definedName name="_xlnm.Print_Area" localSheetId="1">'EX-4, P1'!$A$1:$I$13</definedName>
    <definedName name="_xlnm.Print_Area" localSheetId="3">'EX-4, P2'!$A$1:$J$13</definedName>
    <definedName name="_xlnm.Print_Area" localSheetId="5">'EX-5, P1'!$A$1:$H$12</definedName>
    <definedName name="_xlnm.Print_Area" localSheetId="7">'EX-5, P2'!$A$1:$H$11</definedName>
    <definedName name="_xlnm.Print_Area" localSheetId="11">'EX-6, P1'!$A$1:$K$23</definedName>
    <definedName name="_xlnm.Print_Area" localSheetId="13">'EX-6, P2'!$A$1:$L$24</definedName>
    <definedName name="_xlnm.Print_Area" localSheetId="15">'EX-6, P3'!$A$1:$K$19</definedName>
    <definedName name="_xlnm.Print_Area" localSheetId="17">'EX-7, P1'!$A$1:$J$20</definedName>
    <definedName name="_xlnm.Print_Area" localSheetId="19">'EX-7, P2'!$A$1:$J$22</definedName>
    <definedName name="solver_adj" localSheetId="1" hidden="1">'EX-4, P1'!$F$11:$G$11</definedName>
    <definedName name="solver_adj" localSheetId="3" hidden="1">'EX-4, P2'!$F$11:$H$11</definedName>
    <definedName name="solver_adj" localSheetId="5" hidden="1">'EX-5, P1'!$F$10:$G$10</definedName>
    <definedName name="solver_adj" localSheetId="7" hidden="1">'EX-5, P2'!$F$10:$G$10</definedName>
    <definedName name="solver_adj" localSheetId="11" hidden="1">'EX-6, P1'!$C$15:$G$18</definedName>
    <definedName name="solver_adj" localSheetId="13" hidden="1">'EX-6, P2'!$C$12:$G$17</definedName>
    <definedName name="solver_adj" localSheetId="15" hidden="1">'EX-6, P3'!$C$11:$F$15</definedName>
    <definedName name="solver_adj" localSheetId="17" hidden="1">'EX-7, P1'!$C$11:$F$14</definedName>
    <definedName name="solver_adj" localSheetId="19" hidden="1">'EX-7, P2'!$G$10:$J$13</definedName>
    <definedName name="solver_cvg" localSheetId="1" hidden="1">0.0001</definedName>
    <definedName name="solver_cvg" localSheetId="3" hidden="1">0.0001</definedName>
    <definedName name="solver_cvg" localSheetId="5" hidden="1">0.0001</definedName>
    <definedName name="solver_cvg" localSheetId="7" hidden="1">0.0001</definedName>
    <definedName name="solver_cvg" localSheetId="11" hidden="1">0.0001</definedName>
    <definedName name="solver_cvg" localSheetId="13" hidden="1">0.0001</definedName>
    <definedName name="solver_cvg" localSheetId="15" hidden="1">0.0001</definedName>
    <definedName name="solver_cvg" localSheetId="17" hidden="1">0.0001</definedName>
    <definedName name="solver_cvg" localSheetId="19" hidden="1">0.0001</definedName>
    <definedName name="solver_drv" localSheetId="1" hidden="1">1</definedName>
    <definedName name="solver_drv" localSheetId="3" hidden="1">1</definedName>
    <definedName name="solver_drv" localSheetId="5" hidden="1">1</definedName>
    <definedName name="solver_drv" localSheetId="7" hidden="1">1</definedName>
    <definedName name="solver_drv" localSheetId="11" hidden="1">1</definedName>
    <definedName name="solver_drv" localSheetId="13" hidden="1">2</definedName>
    <definedName name="solver_drv" localSheetId="15" hidden="1">1</definedName>
    <definedName name="solver_drv" localSheetId="17" hidden="1">2</definedName>
    <definedName name="solver_drv" localSheetId="19" hidden="1">2</definedName>
    <definedName name="solver_eng" localSheetId="1" hidden="1">2</definedName>
    <definedName name="solver_eng" localSheetId="3" hidden="1">2</definedName>
    <definedName name="solver_eng" localSheetId="5" hidden="1">2</definedName>
    <definedName name="solver_eng" localSheetId="7" hidden="1">2</definedName>
    <definedName name="solver_eng" localSheetId="11" hidden="1">2</definedName>
    <definedName name="solver_eng" localSheetId="13" hidden="1">2</definedName>
    <definedName name="solver_eng" localSheetId="15" hidden="1">2</definedName>
    <definedName name="solver_eng" localSheetId="17" hidden="1">2</definedName>
    <definedName name="solver_eng" localSheetId="19" hidden="1">2</definedName>
    <definedName name="solver_est" localSheetId="1" hidden="1">1</definedName>
    <definedName name="solver_est" localSheetId="3" hidden="1">1</definedName>
    <definedName name="solver_est" localSheetId="5" hidden="1">1</definedName>
    <definedName name="solver_est" localSheetId="7" hidden="1">1</definedName>
    <definedName name="solver_est" localSheetId="11" hidden="1">1</definedName>
    <definedName name="solver_est" localSheetId="13" hidden="1">1</definedName>
    <definedName name="solver_est" localSheetId="15" hidden="1">1</definedName>
    <definedName name="solver_est" localSheetId="17" hidden="1">1</definedName>
    <definedName name="solver_est" localSheetId="19" hidden="1">1</definedName>
    <definedName name="solver_itr" localSheetId="1" hidden="1">2147483647</definedName>
    <definedName name="solver_itr" localSheetId="3" hidden="1">2147483647</definedName>
    <definedName name="solver_itr" localSheetId="5" hidden="1">2147483647</definedName>
    <definedName name="solver_itr" localSheetId="7" hidden="1">2147483647</definedName>
    <definedName name="solver_itr" localSheetId="11" hidden="1">2147483647</definedName>
    <definedName name="solver_itr" localSheetId="13" hidden="1">2147483647</definedName>
    <definedName name="solver_itr" localSheetId="15" hidden="1">2147483647</definedName>
    <definedName name="solver_itr" localSheetId="17" hidden="1">2147483647</definedName>
    <definedName name="solver_itr" localSheetId="19" hidden="1">100</definedName>
    <definedName name="solver_lhs1" localSheetId="1" hidden="1">'EX-4, P1'!$E$4:$E$6</definedName>
    <definedName name="solver_lhs1" localSheetId="3" hidden="1">'EX-4, P2'!$F$11:$H$11</definedName>
    <definedName name="solver_lhs1" localSheetId="5" hidden="1">'EX-5, P1'!$E$4:$E$6</definedName>
    <definedName name="solver_lhs1" localSheetId="7" hidden="1">'EX-5, P2'!$E$4:$E$6</definedName>
    <definedName name="solver_lhs1" localSheetId="11" hidden="1">'EX-6, P1'!$C$19:$G$19</definedName>
    <definedName name="solver_lhs1" localSheetId="13" hidden="1">'EX-6, P2'!$C$18:$G$18</definedName>
    <definedName name="solver_lhs1" localSheetId="15" hidden="1">'EX-6, P3'!$C$16:$F$16</definedName>
    <definedName name="solver_lhs1" localSheetId="17" hidden="1">'EX-7, P1'!$C$15:$F$15</definedName>
    <definedName name="solver_lhs1" localSheetId="19" hidden="1">'EX-7, P2'!$G$14:$J$14</definedName>
    <definedName name="solver_lhs2" localSheetId="1" hidden="1">'EX-4, P1'!$F$11:$G$11</definedName>
    <definedName name="solver_lhs2" localSheetId="3" hidden="1">'EX-4, P2'!$F$4:$F$6</definedName>
    <definedName name="solver_lhs2" localSheetId="5" hidden="1">'EX-5, P1'!$F$10:$G$10</definedName>
    <definedName name="solver_lhs2" localSheetId="7" hidden="1">'EX-5, P2'!$F$10:$G$10</definedName>
    <definedName name="solver_lhs2" localSheetId="11" hidden="1">'EX-6, P1'!$H$15:$H$18</definedName>
    <definedName name="solver_lhs2" localSheetId="13" hidden="1">'EX-6, P2'!$H$12:$H$17</definedName>
    <definedName name="solver_lhs2" localSheetId="15" hidden="1">'EX-6, P3'!$G$11:$G$15</definedName>
    <definedName name="solver_lhs2" localSheetId="17" hidden="1">'EX-7, P1'!$G$11:$G$14</definedName>
    <definedName name="solver_lhs2" localSheetId="19" hidden="1">'EX-7, P2'!$K$10:$K$13</definedName>
    <definedName name="solver_mip" localSheetId="1" hidden="1">2147483647</definedName>
    <definedName name="solver_mip" localSheetId="3" hidden="1">2147483647</definedName>
    <definedName name="solver_mip" localSheetId="5" hidden="1">2147483647</definedName>
    <definedName name="solver_mip" localSheetId="7" hidden="1">2147483647</definedName>
    <definedName name="solver_mip" localSheetId="11" hidden="1">2147483647</definedName>
    <definedName name="solver_mip" localSheetId="13" hidden="1">2147483647</definedName>
    <definedName name="solver_mip" localSheetId="15" hidden="1">2147483647</definedName>
    <definedName name="solver_mip" localSheetId="17" hidden="1">2147483647</definedName>
    <definedName name="solver_mip" localSheetId="19" hidden="1">2147483647</definedName>
    <definedName name="solver_mni" localSheetId="1" hidden="1">30</definedName>
    <definedName name="solver_mni" localSheetId="3" hidden="1">30</definedName>
    <definedName name="solver_mni" localSheetId="5" hidden="1">30</definedName>
    <definedName name="solver_mni" localSheetId="7" hidden="1">30</definedName>
    <definedName name="solver_mni" localSheetId="11" hidden="1">30</definedName>
    <definedName name="solver_mni" localSheetId="13" hidden="1">30</definedName>
    <definedName name="solver_mni" localSheetId="15" hidden="1">30</definedName>
    <definedName name="solver_mni" localSheetId="17" hidden="1">30</definedName>
    <definedName name="solver_mni" localSheetId="19" hidden="1">30</definedName>
    <definedName name="solver_mrt" localSheetId="1" hidden="1">0.075</definedName>
    <definedName name="solver_mrt" localSheetId="3" hidden="1">0.075</definedName>
    <definedName name="solver_mrt" localSheetId="5" hidden="1">0.075</definedName>
    <definedName name="solver_mrt" localSheetId="7" hidden="1">0.075</definedName>
    <definedName name="solver_mrt" localSheetId="11" hidden="1">0.075</definedName>
    <definedName name="solver_mrt" localSheetId="13" hidden="1">0.075</definedName>
    <definedName name="solver_mrt" localSheetId="15" hidden="1">0.075</definedName>
    <definedName name="solver_mrt" localSheetId="17" hidden="1">0.075</definedName>
    <definedName name="solver_mrt" localSheetId="19" hidden="1">0.075</definedName>
    <definedName name="solver_msl" localSheetId="1" hidden="1">2</definedName>
    <definedName name="solver_msl" localSheetId="3" hidden="1">2</definedName>
    <definedName name="solver_msl" localSheetId="5" hidden="1">2</definedName>
    <definedName name="solver_msl" localSheetId="7" hidden="1">2</definedName>
    <definedName name="solver_msl" localSheetId="11" hidden="1">2</definedName>
    <definedName name="solver_msl" localSheetId="13" hidden="1">2</definedName>
    <definedName name="solver_msl" localSheetId="15" hidden="1">2</definedName>
    <definedName name="solver_msl" localSheetId="17" hidden="1">2</definedName>
    <definedName name="solver_msl" localSheetId="19" hidden="1">2</definedName>
    <definedName name="solver_neg" localSheetId="1" hidden="1">1</definedName>
    <definedName name="solver_neg" localSheetId="3" hidden="1">1</definedName>
    <definedName name="solver_neg" localSheetId="5" hidden="1">1</definedName>
    <definedName name="solver_neg" localSheetId="7" hidden="1">1</definedName>
    <definedName name="solver_neg" localSheetId="11" hidden="1">1</definedName>
    <definedName name="solver_neg" localSheetId="13" hidden="1">1</definedName>
    <definedName name="solver_neg" localSheetId="15" hidden="1">1</definedName>
    <definedName name="solver_neg" localSheetId="17" hidden="1">1</definedName>
    <definedName name="solver_neg" localSheetId="19" hidden="1">1</definedName>
    <definedName name="solver_nod" localSheetId="1" hidden="1">2147483647</definedName>
    <definedName name="solver_nod" localSheetId="3" hidden="1">2147483647</definedName>
    <definedName name="solver_nod" localSheetId="5" hidden="1">2147483647</definedName>
    <definedName name="solver_nod" localSheetId="7" hidden="1">2147483647</definedName>
    <definedName name="solver_nod" localSheetId="11" hidden="1">2147483647</definedName>
    <definedName name="solver_nod" localSheetId="13" hidden="1">2147483647</definedName>
    <definedName name="solver_nod" localSheetId="15" hidden="1">2147483647</definedName>
    <definedName name="solver_nod" localSheetId="17" hidden="1">2147483647</definedName>
    <definedName name="solver_nod" localSheetId="19" hidden="1">2147483647</definedName>
    <definedName name="solver_num" localSheetId="1" hidden="1">2</definedName>
    <definedName name="solver_num" localSheetId="3" hidden="1">2</definedName>
    <definedName name="solver_num" localSheetId="5" hidden="1">2</definedName>
    <definedName name="solver_num" localSheetId="7" hidden="1">2</definedName>
    <definedName name="solver_num" localSheetId="11" hidden="1">2</definedName>
    <definedName name="solver_num" localSheetId="13" hidden="1">2</definedName>
    <definedName name="solver_num" localSheetId="15" hidden="1">2</definedName>
    <definedName name="solver_num" localSheetId="17" hidden="1">2</definedName>
    <definedName name="solver_num" localSheetId="19" hidden="1">2</definedName>
    <definedName name="solver_nwt" localSheetId="1" hidden="1">1</definedName>
    <definedName name="solver_nwt" localSheetId="3" hidden="1">1</definedName>
    <definedName name="solver_nwt" localSheetId="5" hidden="1">1</definedName>
    <definedName name="solver_nwt" localSheetId="7" hidden="1">1</definedName>
    <definedName name="solver_nwt" localSheetId="11" hidden="1">1</definedName>
    <definedName name="solver_nwt" localSheetId="13" hidden="1">1</definedName>
    <definedName name="solver_nwt" localSheetId="15" hidden="1">1</definedName>
    <definedName name="solver_nwt" localSheetId="17" hidden="1">1</definedName>
    <definedName name="solver_nwt" localSheetId="19" hidden="1">1</definedName>
    <definedName name="solver_opt" localSheetId="1" hidden="1">'EX-4, P1'!$E$3</definedName>
    <definedName name="solver_opt" localSheetId="3" hidden="1">'EX-4, P2'!$F$3</definedName>
    <definedName name="solver_opt" localSheetId="5" hidden="1">'EX-5, P1'!$E$3</definedName>
    <definedName name="solver_opt" localSheetId="7" hidden="1">'EX-5, P2'!$E$3</definedName>
    <definedName name="solver_opt" localSheetId="11" hidden="1">'EX-6, P1'!$J$12</definedName>
    <definedName name="solver_opt" localSheetId="13" hidden="1">'EX-6, P2'!$K$3</definedName>
    <definedName name="solver_opt" localSheetId="15" hidden="1">'EX-6, P3'!$J$3</definedName>
    <definedName name="solver_opt" localSheetId="17" hidden="1">'EX-7, P1'!$I$3</definedName>
    <definedName name="solver_opt" localSheetId="19" hidden="1">'EX-7, P2'!$H$2</definedName>
    <definedName name="solver_pre" localSheetId="1" hidden="1">0.000001</definedName>
    <definedName name="solver_pre" localSheetId="3" hidden="1">0.000001</definedName>
    <definedName name="solver_pre" localSheetId="5" hidden="1">0.000001</definedName>
    <definedName name="solver_pre" localSheetId="7" hidden="1">0.000001</definedName>
    <definedName name="solver_pre" localSheetId="11" hidden="1">0.000001</definedName>
    <definedName name="solver_pre" localSheetId="13" hidden="1">0.000001</definedName>
    <definedName name="solver_pre" localSheetId="15" hidden="1">0.000001</definedName>
    <definedName name="solver_pre" localSheetId="17" hidden="1">0.000001</definedName>
    <definedName name="solver_pre" localSheetId="19" hidden="1">0.000001</definedName>
    <definedName name="solver_rbv" localSheetId="1" hidden="1">1</definedName>
    <definedName name="solver_rbv" localSheetId="3" hidden="1">1</definedName>
    <definedName name="solver_rbv" localSheetId="5" hidden="1">1</definedName>
    <definedName name="solver_rbv" localSheetId="7" hidden="1">1</definedName>
    <definedName name="solver_rbv" localSheetId="11" hidden="1">1</definedName>
    <definedName name="solver_rbv" localSheetId="13" hidden="1">2</definedName>
    <definedName name="solver_rbv" localSheetId="15" hidden="1">1</definedName>
    <definedName name="solver_rbv" localSheetId="17" hidden="1">2</definedName>
    <definedName name="solver_rbv" localSheetId="19" hidden="1">2</definedName>
    <definedName name="solver_rel1" localSheetId="1" hidden="1">1</definedName>
    <definedName name="solver_rel1" localSheetId="3" hidden="1">3</definedName>
    <definedName name="solver_rel1" localSheetId="5" hidden="1">3</definedName>
    <definedName name="solver_rel1" localSheetId="7" hidden="1">3</definedName>
    <definedName name="solver_rel1" localSheetId="11" hidden="1">2</definedName>
    <definedName name="solver_rel1" localSheetId="13" hidden="1">2</definedName>
    <definedName name="solver_rel1" localSheetId="15" hidden="1">2</definedName>
    <definedName name="solver_rel1" localSheetId="17" hidden="1">2</definedName>
    <definedName name="solver_rel1" localSheetId="19" hidden="1">2</definedName>
    <definedName name="solver_rel2" localSheetId="1" hidden="1">3</definedName>
    <definedName name="solver_rel2" localSheetId="3" hidden="1">1</definedName>
    <definedName name="solver_rel2" localSheetId="5" hidden="1">3</definedName>
    <definedName name="solver_rel2" localSheetId="7" hidden="1">3</definedName>
    <definedName name="solver_rel2" localSheetId="11" hidden="1">1</definedName>
    <definedName name="solver_rel2" localSheetId="13" hidden="1">1</definedName>
    <definedName name="solver_rel2" localSheetId="15" hidden="1">1</definedName>
    <definedName name="solver_rel2" localSheetId="17" hidden="1">2</definedName>
    <definedName name="solver_rel2" localSheetId="19" hidden="1">2</definedName>
    <definedName name="solver_rhs1" localSheetId="1" hidden="1">'EX-4, P1'!$G$4:$G$6</definedName>
    <definedName name="solver_rhs1" localSheetId="3" hidden="1">0</definedName>
    <definedName name="solver_rhs1" localSheetId="5" hidden="1">'EX-5, P1'!$G$4:$G$6</definedName>
    <definedName name="solver_rhs1" localSheetId="7" hidden="1">'EX-5, P2'!$G$4:$G$6</definedName>
    <definedName name="solver_rhs1" localSheetId="11" hidden="1">'EX-6, P1'!$C$21:$G$21</definedName>
    <definedName name="solver_rhs1" localSheetId="13" hidden="1">'EX-6, P2'!$C$20:$G$20</definedName>
    <definedName name="solver_rhs1" localSheetId="15" hidden="1">'EX-6, P3'!$C$18:$F$18</definedName>
    <definedName name="solver_rhs1" localSheetId="17" hidden="1">'EX-7, P1'!$C$17:$F$17</definedName>
    <definedName name="solver_rhs1" localSheetId="19" hidden="1">'EX-7, P2'!$G$16:$J$16</definedName>
    <definedName name="solver_rhs2" localSheetId="1" hidden="1">0</definedName>
    <definedName name="solver_rhs2" localSheetId="3" hidden="1">'EX-4, P2'!$H$4:$H$6</definedName>
    <definedName name="solver_rhs2" localSheetId="5" hidden="1">0</definedName>
    <definedName name="solver_rhs2" localSheetId="7" hidden="1">0</definedName>
    <definedName name="solver_rhs2" localSheetId="11" hidden="1">'EX-6, P1'!$J$15:$J$18</definedName>
    <definedName name="solver_rhs2" localSheetId="13" hidden="1">'EX-6, P2'!$J$12:$J$17</definedName>
    <definedName name="solver_rhs2" localSheetId="15" hidden="1">'EX-6, P3'!$I$11:$I$15</definedName>
    <definedName name="solver_rhs2" localSheetId="17" hidden="1">'EX-7, P1'!$I$11:$I$14</definedName>
    <definedName name="solver_rhs2" localSheetId="19" hidden="1">'EX-7, P2'!$M$10:$M$13</definedName>
    <definedName name="solver_rlx" localSheetId="1" hidden="1">2</definedName>
    <definedName name="solver_rlx" localSheetId="3" hidden="1">2</definedName>
    <definedName name="solver_rlx" localSheetId="5" hidden="1">2</definedName>
    <definedName name="solver_rlx" localSheetId="7" hidden="1">2</definedName>
    <definedName name="solver_rlx" localSheetId="11" hidden="1">2</definedName>
    <definedName name="solver_rlx" localSheetId="13" hidden="1">2</definedName>
    <definedName name="solver_rlx" localSheetId="15" hidden="1">2</definedName>
    <definedName name="solver_rlx" localSheetId="17" hidden="1">2</definedName>
    <definedName name="solver_rlx" localSheetId="19" hidden="1">2</definedName>
    <definedName name="solver_rsd" localSheetId="1" hidden="1">0</definedName>
    <definedName name="solver_rsd" localSheetId="3" hidden="1">0</definedName>
    <definedName name="solver_rsd" localSheetId="5" hidden="1">0</definedName>
    <definedName name="solver_rsd" localSheetId="7" hidden="1">0</definedName>
    <definedName name="solver_rsd" localSheetId="11" hidden="1">0</definedName>
    <definedName name="solver_rsd" localSheetId="13" hidden="1">0</definedName>
    <definedName name="solver_rsd" localSheetId="15" hidden="1">0</definedName>
    <definedName name="solver_rsd" localSheetId="17" hidden="1">0</definedName>
    <definedName name="solver_rsd" localSheetId="19" hidden="1">0</definedName>
    <definedName name="solver_scl" localSheetId="1" hidden="1">1</definedName>
    <definedName name="solver_scl" localSheetId="3" hidden="1">1</definedName>
    <definedName name="solver_scl" localSheetId="5" hidden="1">1</definedName>
    <definedName name="solver_scl" localSheetId="7" hidden="1">1</definedName>
    <definedName name="solver_scl" localSheetId="11" hidden="1">1</definedName>
    <definedName name="solver_scl" localSheetId="13" hidden="1">2</definedName>
    <definedName name="solver_scl" localSheetId="15" hidden="1">1</definedName>
    <definedName name="solver_scl" localSheetId="17" hidden="1">2</definedName>
    <definedName name="solver_scl" localSheetId="19" hidden="1">2</definedName>
    <definedName name="solver_sho" localSheetId="1" hidden="1">2</definedName>
    <definedName name="solver_sho" localSheetId="3" hidden="1">2</definedName>
    <definedName name="solver_sho" localSheetId="5" hidden="1">2</definedName>
    <definedName name="solver_sho" localSheetId="7" hidden="1">2</definedName>
    <definedName name="solver_sho" localSheetId="11" hidden="1">2</definedName>
    <definedName name="solver_sho" localSheetId="13" hidden="1">2</definedName>
    <definedName name="solver_sho" localSheetId="15" hidden="1">2</definedName>
    <definedName name="solver_sho" localSheetId="17" hidden="1">2</definedName>
    <definedName name="solver_sho" localSheetId="19" hidden="1">2</definedName>
    <definedName name="solver_ssz" localSheetId="1" hidden="1">100</definedName>
    <definedName name="solver_ssz" localSheetId="3" hidden="1">100</definedName>
    <definedName name="solver_ssz" localSheetId="5" hidden="1">100</definedName>
    <definedName name="solver_ssz" localSheetId="7" hidden="1">100</definedName>
    <definedName name="solver_ssz" localSheetId="11" hidden="1">100</definedName>
    <definedName name="solver_ssz" localSheetId="13" hidden="1">100</definedName>
    <definedName name="solver_ssz" localSheetId="15" hidden="1">100</definedName>
    <definedName name="solver_ssz" localSheetId="17" hidden="1">100</definedName>
    <definedName name="solver_ssz" localSheetId="19" hidden="1">100</definedName>
    <definedName name="solver_tim" localSheetId="1" hidden="1">2147483647</definedName>
    <definedName name="solver_tim" localSheetId="3" hidden="1">2147483647</definedName>
    <definedName name="solver_tim" localSheetId="5" hidden="1">2147483647</definedName>
    <definedName name="solver_tim" localSheetId="7" hidden="1">2147483647</definedName>
    <definedName name="solver_tim" localSheetId="11" hidden="1">2147483647</definedName>
    <definedName name="solver_tim" localSheetId="13" hidden="1">2147483647</definedName>
    <definedName name="solver_tim" localSheetId="15" hidden="1">2147483647</definedName>
    <definedName name="solver_tim" localSheetId="17" hidden="1">2147483647</definedName>
    <definedName name="solver_tim" localSheetId="19" hidden="1">100</definedName>
    <definedName name="solver_tol" localSheetId="1" hidden="1">0.01</definedName>
    <definedName name="solver_tol" localSheetId="3" hidden="1">0.01</definedName>
    <definedName name="solver_tol" localSheetId="5" hidden="1">0.01</definedName>
    <definedName name="solver_tol" localSheetId="7" hidden="1">0.01</definedName>
    <definedName name="solver_tol" localSheetId="11" hidden="1">0.01</definedName>
    <definedName name="solver_tol" localSheetId="13" hidden="1">0.01</definedName>
    <definedName name="solver_tol" localSheetId="15" hidden="1">0.01</definedName>
    <definedName name="solver_tol" localSheetId="17" hidden="1">0.01</definedName>
    <definedName name="solver_tol" localSheetId="19" hidden="1">0.01</definedName>
    <definedName name="solver_typ" localSheetId="1" hidden="1">1</definedName>
    <definedName name="solver_typ" localSheetId="3" hidden="1">1</definedName>
    <definedName name="solver_typ" localSheetId="5" hidden="1">2</definedName>
    <definedName name="solver_typ" localSheetId="7" hidden="1">2</definedName>
    <definedName name="solver_typ" localSheetId="11" hidden="1">2</definedName>
    <definedName name="solver_typ" localSheetId="13" hidden="1">2</definedName>
    <definedName name="solver_typ" localSheetId="15" hidden="1">2</definedName>
    <definedName name="solver_typ" localSheetId="17" hidden="1">2</definedName>
    <definedName name="solver_typ" localSheetId="19" hidden="1">2</definedName>
    <definedName name="solver_val" localSheetId="1" hidden="1">0</definedName>
    <definedName name="solver_val" localSheetId="3" hidden="1">0</definedName>
    <definedName name="solver_val" localSheetId="5" hidden="1">0</definedName>
    <definedName name="solver_val" localSheetId="7" hidden="1">0</definedName>
    <definedName name="solver_val" localSheetId="11" hidden="1">0</definedName>
    <definedName name="solver_val" localSheetId="13" hidden="1">0</definedName>
    <definedName name="solver_val" localSheetId="15" hidden="1">0</definedName>
    <definedName name="solver_val" localSheetId="17" hidden="1">0</definedName>
    <definedName name="solver_val" localSheetId="19" hidden="1">0</definedName>
    <definedName name="solver_ver" localSheetId="1" hidden="1">3</definedName>
    <definedName name="solver_ver" localSheetId="3" hidden="1">3</definedName>
    <definedName name="solver_ver" localSheetId="5" hidden="1">3</definedName>
    <definedName name="solver_ver" localSheetId="7" hidden="1">3</definedName>
    <definedName name="solver_ver" localSheetId="11" hidden="1">3</definedName>
    <definedName name="solver_ver" localSheetId="13" hidden="1">3</definedName>
    <definedName name="solver_ver" localSheetId="15" hidden="1">3</definedName>
    <definedName name="solver_ver" localSheetId="17" hidden="1">3</definedName>
    <definedName name="solver_ver" localSheetId="19" hidden="1">3</definedName>
  </definedNames>
  <calcPr calcId="191029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6" l="1"/>
  <c r="C19" i="16"/>
  <c r="E4" i="13"/>
  <c r="E5" i="13"/>
  <c r="E6" i="13"/>
  <c r="E3" i="13"/>
  <c r="E4" i="1" l="1"/>
  <c r="E5" i="1"/>
  <c r="E6" i="1"/>
  <c r="E3" i="1"/>
  <c r="G12" i="34"/>
  <c r="G13" i="34"/>
  <c r="G14" i="34"/>
  <c r="F15" i="34"/>
  <c r="E15" i="34"/>
  <c r="D15" i="34"/>
  <c r="C15" i="34"/>
  <c r="G11" i="34"/>
  <c r="I3" i="34"/>
  <c r="I3" i="31"/>
  <c r="F15" i="31"/>
  <c r="E15" i="31"/>
  <c r="D15" i="31"/>
  <c r="C15" i="31"/>
  <c r="G14" i="31"/>
  <c r="G13" i="31"/>
  <c r="G12" i="31"/>
  <c r="G11" i="31"/>
  <c r="F16" i="28"/>
  <c r="E16" i="28"/>
  <c r="D16" i="28"/>
  <c r="C16" i="28"/>
  <c r="G15" i="28"/>
  <c r="G14" i="28"/>
  <c r="G13" i="28"/>
  <c r="G12" i="28"/>
  <c r="G11" i="28"/>
  <c r="J3" i="28"/>
  <c r="K3" i="25"/>
  <c r="H13" i="25"/>
  <c r="H14" i="25"/>
  <c r="H15" i="25"/>
  <c r="H16" i="25"/>
  <c r="H17" i="25"/>
  <c r="H12" i="25"/>
  <c r="D18" i="25"/>
  <c r="E18" i="25"/>
  <c r="F18" i="25"/>
  <c r="G18" i="25"/>
  <c r="C18" i="25"/>
  <c r="D19" i="16" l="1"/>
  <c r="E19" i="16"/>
  <c r="F19" i="16"/>
  <c r="G19" i="16"/>
  <c r="H16" i="16"/>
  <c r="H17" i="16"/>
  <c r="H18" i="16"/>
  <c r="H15" i="16"/>
  <c r="E4" i="7"/>
  <c r="E5" i="7"/>
  <c r="E6" i="7"/>
  <c r="E3" i="7"/>
  <c r="F4" i="4"/>
  <c r="F5" i="4"/>
  <c r="F6" i="4"/>
  <c r="F3" i="4"/>
</calcChain>
</file>

<file path=xl/sharedStrings.xml><?xml version="1.0" encoding="utf-8"?>
<sst xmlns="http://schemas.openxmlformats.org/spreadsheetml/2006/main" count="1936" uniqueCount="376">
  <si>
    <t>DICISION VAERIABLE</t>
  </si>
  <si>
    <t xml:space="preserve">OBJECTIVE FUNCTION </t>
  </si>
  <si>
    <t xml:space="preserve">LAND </t>
  </si>
  <si>
    <t>FINANCE</t>
  </si>
  <si>
    <t xml:space="preserve">LABOUR </t>
  </si>
  <si>
    <t>X1</t>
  </si>
  <si>
    <t>X2</t>
  </si>
  <si>
    <t>Z</t>
  </si>
  <si>
    <t>&lt;=</t>
  </si>
  <si>
    <t>RHS</t>
  </si>
  <si>
    <t xml:space="preserve">Slack/Unused </t>
  </si>
  <si>
    <t>OUTPUT</t>
  </si>
  <si>
    <t>Microsoft Excel 16.0 Answer Report</t>
  </si>
  <si>
    <t>Result: Solver found a solution.  All Constraints and optimality conditions are satisfied.</t>
  </si>
  <si>
    <t>Solver Engine</t>
  </si>
  <si>
    <t>Engine: Simplex LP</t>
  </si>
  <si>
    <t>Solution Time: 0.016 Seconds.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</si>
  <si>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</si>
  <si>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</si>
  <si>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</si>
  <si>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</si>
  <si>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</si>
  <si>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</si>
  <si>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</si>
  <si>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</si>
  <si>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</si>
  <si>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</si>
  <si>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</si>
  <si>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</si>
  <si>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</si>
  <si>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</si>
  <si>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</si>
  <si>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$E$3</t>
  </si>
  <si>
    <t>OBJECTIVE FUNCTION  Z</t>
  </si>
  <si>
    <t>$F$11</t>
  </si>
  <si>
    <t>Contin</t>
  </si>
  <si>
    <t>$G$11</t>
  </si>
  <si>
    <t>$E$4</t>
  </si>
  <si>
    <t>LAND  Z</t>
  </si>
  <si>
    <t>$E$4&lt;=$G$4</t>
  </si>
  <si>
    <t>Not Binding</t>
  </si>
  <si>
    <t>$E$5</t>
  </si>
  <si>
    <t>FINANCE Z</t>
  </si>
  <si>
    <t>$E$5&lt;=$G$5</t>
  </si>
  <si>
    <t>$E$6</t>
  </si>
  <si>
    <t>LABOUR  Z</t>
  </si>
  <si>
    <t>$E$6&lt;=$G$6</t>
  </si>
  <si>
    <t>$F$11&gt;=0</t>
  </si>
  <si>
    <t>Binding</t>
  </si>
  <si>
    <t>$G$11&gt;=0</t>
  </si>
  <si>
    <t>Microsoft Excel 16.0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</si>
  <si>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</si>
  <si>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</si>
  <si>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</si>
  <si>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</si>
  <si>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</si>
  <si>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</si>
  <si>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</si>
  <si>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</si>
  <si>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</si>
  <si>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</si>
  <si>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</si>
  <si>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</si>
  <si>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</si>
  <si>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X3</t>
  </si>
  <si>
    <t>Worksheet: [OR expt's 2.xlsx]EX-4, P2</t>
  </si>
  <si>
    <t>Solution Time: 0 Seconds.</t>
  </si>
  <si>
    <t>Iterations: 2 Subproblems: 0</t>
  </si>
  <si>
    <t>Max Time Unlimited,  Iterations Unlimited, Precision 0.000001, Use Automatic Scaling</t>
  </si>
  <si>
    <t>$F$3</t>
  </si>
  <si>
    <t>$H$11</t>
  </si>
  <si>
    <t>$F$4</t>
  </si>
  <si>
    <t>$F$4&lt;=$H$4</t>
  </si>
  <si>
    <t>$F$5</t>
  </si>
  <si>
    <t>$F$5&lt;=$H$5</t>
  </si>
  <si>
    <t>$F$6</t>
  </si>
  <si>
    <t>$F$6&lt;=$H$6</t>
  </si>
  <si>
    <t>$H$11&gt;=0</t>
  </si>
  <si>
    <t xml:space="preserve">MATERAIL REQURED </t>
  </si>
  <si>
    <t xml:space="preserve">MACINE HOURS </t>
  </si>
  <si>
    <t>LABOURS</t>
  </si>
  <si>
    <t>Report Created: 6/15/2026 7:34:03 PM</t>
  </si>
  <si>
    <t>MATERAIL REQURED  Z</t>
  </si>
  <si>
    <t>MACINE HOURS  Z</t>
  </si>
  <si>
    <t>LABOURS Z</t>
  </si>
  <si>
    <t>NUTRIENT A</t>
  </si>
  <si>
    <t>NUTRIENT B</t>
  </si>
  <si>
    <t>NUTRIENT C</t>
  </si>
  <si>
    <t>&gt;=</t>
  </si>
  <si>
    <t>Worksheet: [OR expt's 2.xlsx]EX-5, P1</t>
  </si>
  <si>
    <t>Report Created: 6/15/2026 7:39:16 PM</t>
  </si>
  <si>
    <t>Solution Time: 0.015 Seconds.</t>
  </si>
  <si>
    <t>Iterations: 4 Subproblems: 0</t>
  </si>
  <si>
    <t>Objective Cell (Min)</t>
  </si>
  <si>
    <t>$F$10</t>
  </si>
  <si>
    <t>$G$10</t>
  </si>
  <si>
    <t>NUTRIENT A Z</t>
  </si>
  <si>
    <t>$E$4&gt;=$G$4</t>
  </si>
  <si>
    <t>NUTRIENT B Z</t>
  </si>
  <si>
    <t>$E$5&gt;=$G$5</t>
  </si>
  <si>
    <t>NUTRIENT C Z</t>
  </si>
  <si>
    <t>$E$6&gt;=$G$6</t>
  </si>
  <si>
    <t>$F$10&gt;=0</t>
  </si>
  <si>
    <t>$G$10&gt;=0</t>
  </si>
  <si>
    <t xml:space="preserve">STRENGTH </t>
  </si>
  <si>
    <t>FLEXIBILITY</t>
  </si>
  <si>
    <t xml:space="preserve">DURABILITY </t>
  </si>
  <si>
    <t>Worksheet: [OR expt's 2.xlsx]EX-5, P2</t>
  </si>
  <si>
    <t>STRENGTH  Z</t>
  </si>
  <si>
    <t>FLEXIBILITY Z</t>
  </si>
  <si>
    <t>DURABILITY  Z</t>
  </si>
  <si>
    <t>I</t>
  </si>
  <si>
    <t>II</t>
  </si>
  <si>
    <t>III</t>
  </si>
  <si>
    <t>IV</t>
  </si>
  <si>
    <t>DUMMY</t>
  </si>
  <si>
    <t>SUPPLY</t>
  </si>
  <si>
    <t>A</t>
  </si>
  <si>
    <t>B</t>
  </si>
  <si>
    <t>C</t>
  </si>
  <si>
    <t>D</t>
  </si>
  <si>
    <t>DEMAND</t>
  </si>
  <si>
    <t>=</t>
  </si>
  <si>
    <t xml:space="preserve">OBJECTIVE </t>
  </si>
  <si>
    <t>Worksheet: [OR expt's 2.xlsx]EX-6, P1</t>
  </si>
  <si>
    <t>$J$12</t>
  </si>
  <si>
    <t>$C$19</t>
  </si>
  <si>
    <t>DEMAND I</t>
  </si>
  <si>
    <t>$D$19</t>
  </si>
  <si>
    <t>DEMAND II</t>
  </si>
  <si>
    <t>$E$19</t>
  </si>
  <si>
    <t>DEMAND III</t>
  </si>
  <si>
    <t>$F$19</t>
  </si>
  <si>
    <t>DEMAND IV</t>
  </si>
  <si>
    <t>$G$19</t>
  </si>
  <si>
    <t>DEMAND DUMMY</t>
  </si>
  <si>
    <t>$H$15</t>
  </si>
  <si>
    <t>A SUPPLY</t>
  </si>
  <si>
    <t>$H$15&lt;=$J$15</t>
  </si>
  <si>
    <t>$H$16</t>
  </si>
  <si>
    <t>B SUPPLY</t>
  </si>
  <si>
    <t>$H$16&lt;=$J$16</t>
  </si>
  <si>
    <t>$H$17</t>
  </si>
  <si>
    <t>C SUPPLY</t>
  </si>
  <si>
    <t>$H$17&lt;=$J$17</t>
  </si>
  <si>
    <t>$H$18</t>
  </si>
  <si>
    <t>D SUPPLY</t>
  </si>
  <si>
    <t>$H$18&lt;=$J$18</t>
  </si>
  <si>
    <t>$C$19=$C$21</t>
  </si>
  <si>
    <t>$D$19=$D$21</t>
  </si>
  <si>
    <t>$E$19=$E$21</t>
  </si>
  <si>
    <t>$F$19=$F$21</t>
  </si>
  <si>
    <t>$G$19=$G$21</t>
  </si>
  <si>
    <t>$C$15</t>
  </si>
  <si>
    <t>A I</t>
  </si>
  <si>
    <t>$D$15</t>
  </si>
  <si>
    <t>A II</t>
  </si>
  <si>
    <t>$E$15</t>
  </si>
  <si>
    <t>A III</t>
  </si>
  <si>
    <t>$F$15</t>
  </si>
  <si>
    <t>A IV</t>
  </si>
  <si>
    <t>$G$15</t>
  </si>
  <si>
    <t>A DUMMY</t>
  </si>
  <si>
    <t>$C$16</t>
  </si>
  <si>
    <t>B I</t>
  </si>
  <si>
    <t>$D$16</t>
  </si>
  <si>
    <t>B II</t>
  </si>
  <si>
    <t>$E$16</t>
  </si>
  <si>
    <t>B III</t>
  </si>
  <si>
    <t>$F$16</t>
  </si>
  <si>
    <t>B IV</t>
  </si>
  <si>
    <t>$G$16</t>
  </si>
  <si>
    <t>B DUMMY</t>
  </si>
  <si>
    <t>$C$17</t>
  </si>
  <si>
    <t>C I</t>
  </si>
  <si>
    <t>$D$17</t>
  </si>
  <si>
    <t>C II</t>
  </si>
  <si>
    <t>$E$17</t>
  </si>
  <si>
    <t>C III</t>
  </si>
  <si>
    <t>$F$17</t>
  </si>
  <si>
    <t>C IV</t>
  </si>
  <si>
    <t>$G$17</t>
  </si>
  <si>
    <t>C DUMMY</t>
  </si>
  <si>
    <t>$C$18</t>
  </si>
  <si>
    <t>D I</t>
  </si>
  <si>
    <t>$D$18</t>
  </si>
  <si>
    <t>D II</t>
  </si>
  <si>
    <t>$E$18</t>
  </si>
  <si>
    <t>D III</t>
  </si>
  <si>
    <t>$F$18</t>
  </si>
  <si>
    <t>D IV</t>
  </si>
  <si>
    <t>$G$18</t>
  </si>
  <si>
    <t>D DUMMY</t>
  </si>
  <si>
    <t>Iterations: 16 Subproblems: 0</t>
  </si>
  <si>
    <r>
      <t>B</t>
    </r>
    <r>
      <rPr>
        <vertAlign val="superscript"/>
        <sz val="11"/>
        <color theme="1"/>
        <rFont val="Calibri Light"/>
        <family val="1"/>
        <scheme val="major"/>
      </rPr>
      <t>I</t>
    </r>
  </si>
  <si>
    <r>
      <t>C</t>
    </r>
    <r>
      <rPr>
        <vertAlign val="superscript"/>
        <sz val="11"/>
        <color theme="1"/>
        <rFont val="Calibri Light"/>
        <family val="1"/>
        <scheme val="major"/>
      </rPr>
      <t>I</t>
    </r>
  </si>
  <si>
    <t>Worksheet: [OR expt's 2.xlsx]EX-6, P12</t>
  </si>
  <si>
    <t>Report Created: 6/18/2026 12:32:39 PM</t>
  </si>
  <si>
    <t>Solution Time: 0.031 Seconds.</t>
  </si>
  <si>
    <t>Iterations: 26 Subproblems: 0</t>
  </si>
  <si>
    <t>$K$3</t>
  </si>
  <si>
    <t>$C$12</t>
  </si>
  <si>
    <t>$D$12</t>
  </si>
  <si>
    <t>$E$12</t>
  </si>
  <si>
    <t>$F$12</t>
  </si>
  <si>
    <t>$G$12</t>
  </si>
  <si>
    <t>$C$13</t>
  </si>
  <si>
    <t>$D$13</t>
  </si>
  <si>
    <t>$E$13</t>
  </si>
  <si>
    <t>$F$13</t>
  </si>
  <si>
    <t>$G$13</t>
  </si>
  <si>
    <t>$C$14</t>
  </si>
  <si>
    <t>BI</t>
  </si>
  <si>
    <t>$D$14</t>
  </si>
  <si>
    <t>$E$14</t>
  </si>
  <si>
    <t>$F$14</t>
  </si>
  <si>
    <t>$G$14</t>
  </si>
  <si>
    <t>CI</t>
  </si>
  <si>
    <t>$C$18=$C$20</t>
  </si>
  <si>
    <t>$D$18=$D$20</t>
  </si>
  <si>
    <t>$E$18=$E$20</t>
  </si>
  <si>
    <t>$F$18=$F$20</t>
  </si>
  <si>
    <t>$G$18=$G$20</t>
  </si>
  <si>
    <t>$H$12</t>
  </si>
  <si>
    <t>$H$12&lt;=$J$12</t>
  </si>
  <si>
    <t>$H$13</t>
  </si>
  <si>
    <t>$H$13&lt;=$J$13</t>
  </si>
  <si>
    <t>$H$14</t>
  </si>
  <si>
    <t>BI SUPPLY</t>
  </si>
  <si>
    <t>$H$14&lt;=$J$14</t>
  </si>
  <si>
    <t>CI SUPPLY</t>
  </si>
  <si>
    <t>M1</t>
  </si>
  <si>
    <t>M2</t>
  </si>
  <si>
    <t>M3</t>
  </si>
  <si>
    <t>M1 REG</t>
  </si>
  <si>
    <t>M1 OT</t>
  </si>
  <si>
    <t>M2 REG</t>
  </si>
  <si>
    <t>M3 REG</t>
  </si>
  <si>
    <t>M3 OT</t>
  </si>
  <si>
    <t>Worksheet: [OR expt's 2.xlsx]EX-6, P3</t>
  </si>
  <si>
    <t>Report Created: 6/18/2026 12:39:42 PM</t>
  </si>
  <si>
    <t>Iterations: 17 Subproblems: 0</t>
  </si>
  <si>
    <t>$J$3</t>
  </si>
  <si>
    <t>$C$11</t>
  </si>
  <si>
    <t>M1 REG M1</t>
  </si>
  <si>
    <t>$D$11</t>
  </si>
  <si>
    <t>M1 REG M2</t>
  </si>
  <si>
    <t>$E$11</t>
  </si>
  <si>
    <t>M1 REG M3</t>
  </si>
  <si>
    <t>M1 REG DUMMY</t>
  </si>
  <si>
    <t>M1 OT M1</t>
  </si>
  <si>
    <t>M1 OT M2</t>
  </si>
  <si>
    <t>M1 OT M3</t>
  </si>
  <si>
    <t>M1 OT DUMMY</t>
  </si>
  <si>
    <t>M2 REG M1</t>
  </si>
  <si>
    <t>M2 REG M2</t>
  </si>
  <si>
    <t>M2 REG M3</t>
  </si>
  <si>
    <t>M2 REG DUMMY</t>
  </si>
  <si>
    <t>M3 REG M1</t>
  </si>
  <si>
    <t>M3 REG M2</t>
  </si>
  <si>
    <t>M3 REG M3</t>
  </si>
  <si>
    <t>M3 REG DUMMY</t>
  </si>
  <si>
    <t>M3 OT M1</t>
  </si>
  <si>
    <t>M3 OT M2</t>
  </si>
  <si>
    <t>M3 OT M3</t>
  </si>
  <si>
    <t>M3 OT DUMMY</t>
  </si>
  <si>
    <t>DEMAND M1</t>
  </si>
  <si>
    <t>$C$16=$C$18</t>
  </si>
  <si>
    <t>DEMAND M2</t>
  </si>
  <si>
    <t>$D$16=$D$18</t>
  </si>
  <si>
    <t>DEMAND M3</t>
  </si>
  <si>
    <t>$E$16=$E$18</t>
  </si>
  <si>
    <t>$F$16=$F$18</t>
  </si>
  <si>
    <t>M1 REG SUPPLY</t>
  </si>
  <si>
    <t>$G$11&lt;=$I$11</t>
  </si>
  <si>
    <t>M1 OT SUPPLY</t>
  </si>
  <si>
    <t>$G$12&lt;=$I$12</t>
  </si>
  <si>
    <t>M2 REG SUPPLY</t>
  </si>
  <si>
    <t>$G$13&lt;=$I$13</t>
  </si>
  <si>
    <t>M3 REG SUPPLY</t>
  </si>
  <si>
    <t>$G$14&lt;=$I$14</t>
  </si>
  <si>
    <t>M3 OT SUPPLY</t>
  </si>
  <si>
    <t>$G$15&lt;=$I$15</t>
  </si>
  <si>
    <t>Department</t>
  </si>
  <si>
    <t>Nurse</t>
  </si>
  <si>
    <t>Urology</t>
  </si>
  <si>
    <t>Cardiology</t>
  </si>
  <si>
    <t>Orthopaedics</t>
  </si>
  <si>
    <t>Obstetrics</t>
  </si>
  <si>
    <t>Hawkins</t>
  </si>
  <si>
    <t>Condriac</t>
  </si>
  <si>
    <t>Bardot</t>
  </si>
  <si>
    <t>Hoolihan</t>
  </si>
  <si>
    <t>Worksheet: [OR expt's 2.xlsx]Sheet8</t>
  </si>
  <si>
    <t>Report Created: 6/18/2026 12:48:05 PM</t>
  </si>
  <si>
    <t>Iterations: 9 Subproblems: 0</t>
  </si>
  <si>
    <t>$I$3</t>
  </si>
  <si>
    <t>Hawkins Urology</t>
  </si>
  <si>
    <t>Hawkins Cardiology</t>
  </si>
  <si>
    <t>Hawkins Orthopaedics</t>
  </si>
  <si>
    <t>Hawkins Obstetrics</t>
  </si>
  <si>
    <t>Condriac Urology</t>
  </si>
  <si>
    <t>Condriac Cardiology</t>
  </si>
  <si>
    <t>Condriac Orthopaedics</t>
  </si>
  <si>
    <t>Condriac Obstetrics</t>
  </si>
  <si>
    <t>Bardot Urology</t>
  </si>
  <si>
    <t>Bardot Cardiology</t>
  </si>
  <si>
    <t>Bardot Orthopaedics</t>
  </si>
  <si>
    <t>Bardot Obstetrics</t>
  </si>
  <si>
    <t>Hoolihan Urology</t>
  </si>
  <si>
    <t>Hoolihan Cardiology</t>
  </si>
  <si>
    <t>Hoolihan Orthopaedics</t>
  </si>
  <si>
    <t>Hoolihan Obstetrics</t>
  </si>
  <si>
    <t>$C$15=$C$17</t>
  </si>
  <si>
    <t>$D$15=$D$17</t>
  </si>
  <si>
    <t>$E$15=$E$17</t>
  </si>
  <si>
    <t>$F$15=$F$17</t>
  </si>
  <si>
    <t>Hawkins Z</t>
  </si>
  <si>
    <t>$G$11=$I$11</t>
  </si>
  <si>
    <t>Condriac Z</t>
  </si>
  <si>
    <t>$G$12=$I$12</t>
  </si>
  <si>
    <t>Bardot Z</t>
  </si>
  <si>
    <t>$G$13=$I$13</t>
  </si>
  <si>
    <t>Hoolihan Z</t>
  </si>
  <si>
    <t>$G$14=$I$14</t>
  </si>
  <si>
    <t>Manager</t>
  </si>
  <si>
    <t>AI Development</t>
  </si>
  <si>
    <t>Market Expansion</t>
  </si>
  <si>
    <t>Infrastrucuture Upgrade</t>
  </si>
  <si>
    <t>Cybersecurity</t>
  </si>
  <si>
    <t>Anderson</t>
  </si>
  <si>
    <t>Blake</t>
  </si>
  <si>
    <t>Carter</t>
  </si>
  <si>
    <t>Dawson</t>
  </si>
  <si>
    <t>Worksheet: [OR expt's 2.xlsx]Sheet11</t>
  </si>
  <si>
    <t>Report Created: 6/18/2026 1:17:16 PM</t>
  </si>
  <si>
    <t>Iterations: 11 Subproblems: 0</t>
  </si>
  <si>
    <t>Anderson AI Development</t>
  </si>
  <si>
    <t>Anderson Market Expansion</t>
  </si>
  <si>
    <t>Anderson Infrastrucuture Upgrade</t>
  </si>
  <si>
    <t>Anderson Cybersecurity</t>
  </si>
  <si>
    <t>Blake AI Development</t>
  </si>
  <si>
    <t>Blake Market Expansion</t>
  </si>
  <si>
    <t>Blake Infrastrucuture Upgrade</t>
  </si>
  <si>
    <t>Blake Cybersecurity</t>
  </si>
  <si>
    <t>Carter AI Development</t>
  </si>
  <si>
    <t>Carter Market Expansion</t>
  </si>
  <si>
    <t>Carter Infrastrucuture Upgrade</t>
  </si>
  <si>
    <t>Carter Cybersecurity</t>
  </si>
  <si>
    <t>Dawson AI Development</t>
  </si>
  <si>
    <t>Dawson Market Expansion</t>
  </si>
  <si>
    <t>Dawson Infrastrucuture Upgrade</t>
  </si>
  <si>
    <t>Dawson Cybersecurity</t>
  </si>
  <si>
    <t>Anderson Z</t>
  </si>
  <si>
    <t>Blake Z</t>
  </si>
  <si>
    <t>Carter Z</t>
  </si>
  <si>
    <t>Dawson Z</t>
  </si>
  <si>
    <t>Worksheet: [OR expt's 2.xlsx]EX-4, P1</t>
  </si>
  <si>
    <t>Report Created: 6/19/2026 7:06:00 AM</t>
  </si>
  <si>
    <t>Report Created: 6/19/2026 7:12:28 AM</t>
  </si>
  <si>
    <t>Report Created: 6/19/2026 7:18:03 AM</t>
  </si>
  <si>
    <t>Worksheet</t>
  </si>
  <si>
    <t>: Aryan EX-4 P1</t>
  </si>
  <si>
    <t>: Aryan EX-5 P1</t>
  </si>
  <si>
    <t>: Aryan EX-5 P2</t>
  </si>
  <si>
    <t>: Aryan EX-6 P1</t>
  </si>
  <si>
    <t>: Aryan EX-6 P2</t>
  </si>
  <si>
    <t>: Aryan EX-6 P3</t>
  </si>
  <si>
    <t>: Aryan EX-7 P1</t>
  </si>
  <si>
    <t>: Aryan EX-7 P2</t>
  </si>
  <si>
    <t>: Aryan EX-4 P2</t>
  </si>
  <si>
    <t>Worksheet: [OR expt's 4-7.xlsx]EX-6, P1</t>
  </si>
  <si>
    <t>Report Created: 22-06-2026 09:32:36 AM</t>
  </si>
  <si>
    <t>Solution Time: 0.156 Seconds.</t>
  </si>
  <si>
    <t>Iterations: 14 Subproblems: 0</t>
  </si>
  <si>
    <t>Report Created: 22-06-2026 09:32:38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</si>
</sst>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 Light"/>
      <family val="1"/>
      <scheme val="major"/>
    </font>
    <font>
      <vertAlign val="superscript"/>
      <sz val="11"/>
      <color theme="1"/>
      <name val="Calibri Light"/>
      <family val="1"/>
      <scheme val="major"/>
    </font>
    <font>
      <sz val="11"/>
      <color theme="1"/>
      <name val="Times New Roman"/>
      <family val="1"/>
    </font>
    <font>
      <b/>
      <sz val="11"/>
      <color indexed="18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9"/>
      <color indexed="18"/>
      <name val="Times New Roman"/>
      <family val="1"/>
    </font>
    <font>
      <sz val="9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0" xfId="0" applyFont="1"/>
    <xf numFmtId="0" fontId="3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/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9" borderId="1" xfId="0" applyFont="1" applyFill="1" applyBorder="1"/>
    <xf numFmtId="0" fontId="1" fillId="0" borderId="0" xfId="0" applyFont="1"/>
    <xf numFmtId="0" fontId="5" fillId="0" borderId="0" xfId="0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6" xfId="0" applyFont="1" applyBorder="1"/>
    <xf numFmtId="0" fontId="5" fillId="0" borderId="5" xfId="0" applyFont="1" applyBorder="1"/>
    <xf numFmtId="0" fontId="6" fillId="0" borderId="4" xfId="0" applyFont="1" applyBorder="1" applyAlignment="1">
      <alignment horizontal="center"/>
    </xf>
    <xf numFmtId="0" fontId="5" fillId="0" borderId="5" xfId="0" quotePrefix="1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quotePrefix="1" applyFont="1" applyBorder="1"/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0" xfId="0" applyFont="1"/>
    <xf numFmtId="0" fontId="0" fillId="0" borderId="5" xfId="0" applyBorder="1"/>
    <xf numFmtId="0" fontId="8" fillId="0" borderId="4" xfId="0" applyFont="1" applyBorder="1" applyAlignment="1">
      <alignment horizontal="center"/>
    </xf>
    <xf numFmtId="0" fontId="0" fillId="0" borderId="6" xfId="0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0" fillId="0" borderId="5" xfId="0" quotePrefix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164" fontId="10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Fill="1" applyBorder="1" applyAlignment="1"/>
    <xf numFmtId="0" fontId="8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quotePrefix="1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8" fillId="0" borderId="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1BE9-B45A-483F-BF9D-6BAFA91B08F8}">
  <sheetPr>
    <tabColor rgb="FFFFFF00"/>
  </sheetPr>
  <dimension ref="B2:Q32"/>
  <sheetViews>
    <sheetView showGridLines="0" zoomScale="105" workbookViewId="0">
      <selection activeCell="D3" sqref="D3"/>
    </sheetView>
  </sheetViews>
  <sheetFormatPr defaultRowHeight="13.8" x14ac:dyDescent="0.25"/>
  <cols>
    <col min="1" max="1" width="2.6640625" style="24" customWidth="1"/>
    <col min="2" max="2" width="2.33203125" style="24" customWidth="1"/>
    <col min="3" max="3" width="9.109375" style="24" customWidth="1"/>
    <col min="4" max="4" width="21.33203125" style="24" bestFit="1" customWidth="1"/>
    <col min="5" max="5" width="12.6640625" style="24" bestFit="1" customWidth="1"/>
    <col min="6" max="6" width="12.21875" style="24" bestFit="1" customWidth="1"/>
    <col min="7" max="7" width="10.88671875" style="24" bestFit="1" customWidth="1"/>
    <col min="8" max="8" width="5.33203125" style="24" bestFit="1" customWidth="1"/>
    <col min="9" max="9" width="17.44140625" style="24" customWidth="1"/>
    <col min="10" max="10" width="2.33203125" style="24" customWidth="1"/>
    <col min="11" max="11" width="7.6640625" style="24" customWidth="1"/>
    <col min="12" max="12" width="9.6640625" style="24" bestFit="1" customWidth="1"/>
    <col min="13" max="13" width="5.77734375" style="24" bestFit="1" customWidth="1"/>
    <col min="14" max="14" width="12" style="24" bestFit="1" customWidth="1"/>
    <col min="15" max="15" width="11.109375" style="24" bestFit="1" customWidth="1"/>
    <col min="16" max="16" width="12" style="24" bestFit="1" customWidth="1"/>
    <col min="17" max="17" width="9.21875" style="24" bestFit="1" customWidth="1"/>
    <col min="18" max="16384" width="8.88671875" style="24"/>
  </cols>
  <sheetData>
    <row r="2" spans="2:17" x14ac:dyDescent="0.25">
      <c r="B2" s="23" t="s">
        <v>12</v>
      </c>
      <c r="J2" s="23" t="s">
        <v>50</v>
      </c>
    </row>
    <row r="3" spans="2:17" x14ac:dyDescent="0.25">
      <c r="B3" s="23" t="s">
        <v>361</v>
      </c>
      <c r="D3" s="23" t="s">
        <v>362</v>
      </c>
      <c r="J3" s="23" t="s">
        <v>357</v>
      </c>
      <c r="L3" s="23" t="s">
        <v>362</v>
      </c>
    </row>
    <row r="4" spans="2:17" x14ac:dyDescent="0.25">
      <c r="B4" s="23" t="s">
        <v>358</v>
      </c>
      <c r="J4" s="23" t="s">
        <v>358</v>
      </c>
    </row>
    <row r="5" spans="2:17" x14ac:dyDescent="0.25">
      <c r="B5" s="23" t="s">
        <v>13</v>
      </c>
    </row>
    <row r="6" spans="2:17" x14ac:dyDescent="0.25">
      <c r="B6" s="23" t="s">
        <v>14</v>
      </c>
    </row>
    <row r="7" spans="2:17" x14ac:dyDescent="0.25">
      <c r="B7" s="23"/>
      <c r="C7" s="24" t="s">
        <v>15</v>
      </c>
      <c r="J7" s="24" t="s">
        <v>25</v>
      </c>
    </row>
    <row r="8" spans="2:17" x14ac:dyDescent="0.25">
      <c r="B8" s="23"/>
      <c r="C8" s="24" t="s">
        <v>91</v>
      </c>
      <c r="K8" s="31"/>
      <c r="L8" s="31"/>
      <c r="M8" s="31" t="s">
        <v>51</v>
      </c>
      <c r="N8" s="31" t="s">
        <v>53</v>
      </c>
      <c r="O8" s="31" t="s">
        <v>55</v>
      </c>
      <c r="P8" s="31" t="s">
        <v>57</v>
      </c>
      <c r="Q8" s="31" t="s">
        <v>57</v>
      </c>
    </row>
    <row r="9" spans="2:17" x14ac:dyDescent="0.25">
      <c r="B9" s="23"/>
      <c r="C9" s="24" t="s">
        <v>67</v>
      </c>
      <c r="K9" s="31" t="s">
        <v>21</v>
      </c>
      <c r="L9" s="31" t="s">
        <v>22</v>
      </c>
      <c r="M9" s="31" t="s">
        <v>52</v>
      </c>
      <c r="N9" s="31" t="s">
        <v>54</v>
      </c>
      <c r="O9" s="31" t="s">
        <v>56</v>
      </c>
      <c r="P9" s="31" t="s">
        <v>58</v>
      </c>
      <c r="Q9" s="31" t="s">
        <v>59</v>
      </c>
    </row>
    <row r="10" spans="2:17" x14ac:dyDescent="0.25">
      <c r="B10" s="23" t="s">
        <v>17</v>
      </c>
      <c r="K10" s="32" t="s">
        <v>34</v>
      </c>
      <c r="L10" s="32" t="s">
        <v>5</v>
      </c>
      <c r="M10" s="32">
        <v>500</v>
      </c>
      <c r="N10" s="32">
        <v>0</v>
      </c>
      <c r="O10" s="32">
        <v>2</v>
      </c>
      <c r="P10" s="32">
        <v>1.7500000000000009</v>
      </c>
      <c r="Q10" s="32">
        <v>1.4</v>
      </c>
    </row>
    <row r="11" spans="2:17" x14ac:dyDescent="0.25">
      <c r="C11" s="24" t="s">
        <v>68</v>
      </c>
      <c r="K11" s="32" t="s">
        <v>36</v>
      </c>
      <c r="L11" s="32" t="s">
        <v>6</v>
      </c>
      <c r="M11" s="32">
        <v>900</v>
      </c>
      <c r="N11" s="32">
        <v>0</v>
      </c>
      <c r="O11" s="32">
        <v>3</v>
      </c>
      <c r="P11" s="32">
        <v>7</v>
      </c>
      <c r="Q11" s="32">
        <v>1.4000000000000006</v>
      </c>
    </row>
    <row r="12" spans="2:17" x14ac:dyDescent="0.25">
      <c r="C12" s="24" t="s">
        <v>19</v>
      </c>
    </row>
    <row r="13" spans="2:17" x14ac:dyDescent="0.25">
      <c r="J13" s="24" t="s">
        <v>27</v>
      </c>
    </row>
    <row r="14" spans="2:17" x14ac:dyDescent="0.25">
      <c r="K14" s="31"/>
      <c r="L14" s="31"/>
      <c r="M14" s="31" t="s">
        <v>51</v>
      </c>
      <c r="N14" s="31" t="s">
        <v>60</v>
      </c>
      <c r="O14" s="31" t="s">
        <v>62</v>
      </c>
      <c r="P14" s="31" t="s">
        <v>57</v>
      </c>
      <c r="Q14" s="31" t="s">
        <v>57</v>
      </c>
    </row>
    <row r="15" spans="2:17" x14ac:dyDescent="0.25">
      <c r="B15" s="24" t="s">
        <v>20</v>
      </c>
      <c r="K15" s="31" t="s">
        <v>21</v>
      </c>
      <c r="L15" s="31" t="s">
        <v>22</v>
      </c>
      <c r="M15" s="31" t="s">
        <v>52</v>
      </c>
      <c r="N15" s="31" t="s">
        <v>61</v>
      </c>
      <c r="O15" s="31" t="s">
        <v>63</v>
      </c>
      <c r="P15" s="31" t="s">
        <v>58</v>
      </c>
      <c r="Q15" s="31" t="s">
        <v>59</v>
      </c>
    </row>
    <row r="16" spans="2:17" x14ac:dyDescent="0.25">
      <c r="C16" s="31" t="s">
        <v>21</v>
      </c>
      <c r="D16" s="31" t="s">
        <v>22</v>
      </c>
      <c r="E16" s="31" t="s">
        <v>23</v>
      </c>
      <c r="F16" s="31" t="s">
        <v>24</v>
      </c>
      <c r="K16" s="32" t="s">
        <v>37</v>
      </c>
      <c r="L16" s="32" t="s">
        <v>38</v>
      </c>
      <c r="M16" s="32">
        <v>6100</v>
      </c>
      <c r="N16" s="32">
        <v>0.33333333333333331</v>
      </c>
      <c r="O16" s="32">
        <v>6100</v>
      </c>
      <c r="P16" s="32">
        <v>1215.7894736842106</v>
      </c>
      <c r="Q16" s="32">
        <v>2100</v>
      </c>
    </row>
    <row r="17" spans="2:17" x14ac:dyDescent="0.25">
      <c r="C17" s="32" t="s">
        <v>32</v>
      </c>
      <c r="D17" s="32" t="s">
        <v>33</v>
      </c>
      <c r="E17" s="32">
        <v>0</v>
      </c>
      <c r="F17" s="32">
        <v>3700</v>
      </c>
      <c r="K17" s="32" t="s">
        <v>41</v>
      </c>
      <c r="L17" s="32" t="s">
        <v>42</v>
      </c>
      <c r="M17" s="32">
        <v>5800</v>
      </c>
      <c r="N17" s="32">
        <v>0</v>
      </c>
      <c r="O17" s="32">
        <v>8000</v>
      </c>
      <c r="P17" s="32">
        <v>1E+30</v>
      </c>
      <c r="Q17" s="32">
        <v>2200</v>
      </c>
    </row>
    <row r="18" spans="2:17" x14ac:dyDescent="0.25">
      <c r="K18" s="32" t="s">
        <v>44</v>
      </c>
      <c r="L18" s="32" t="s">
        <v>45</v>
      </c>
      <c r="M18" s="32">
        <v>5000</v>
      </c>
      <c r="N18" s="32">
        <v>0.33333333333333348</v>
      </c>
      <c r="O18" s="32">
        <v>5000</v>
      </c>
      <c r="P18" s="32">
        <v>2625</v>
      </c>
      <c r="Q18" s="32">
        <v>2100.0000000000005</v>
      </c>
    </row>
    <row r="20" spans="2:17" x14ac:dyDescent="0.25">
      <c r="B20" s="24" t="s">
        <v>25</v>
      </c>
    </row>
    <row r="21" spans="2:17" x14ac:dyDescent="0.25">
      <c r="C21" s="31" t="s">
        <v>21</v>
      </c>
      <c r="D21" s="31" t="s">
        <v>22</v>
      </c>
      <c r="E21" s="31" t="s">
        <v>23</v>
      </c>
      <c r="F21" s="31" t="s">
        <v>24</v>
      </c>
      <c r="G21" s="31" t="s">
        <v>26</v>
      </c>
    </row>
    <row r="22" spans="2:17" x14ac:dyDescent="0.25">
      <c r="C22" s="32" t="s">
        <v>34</v>
      </c>
      <c r="D22" s="32" t="s">
        <v>5</v>
      </c>
      <c r="E22" s="32">
        <v>0</v>
      </c>
      <c r="F22" s="32">
        <v>500</v>
      </c>
      <c r="G22" s="32" t="s">
        <v>35</v>
      </c>
    </row>
    <row r="23" spans="2:17" x14ac:dyDescent="0.25">
      <c r="C23" s="32" t="s">
        <v>36</v>
      </c>
      <c r="D23" s="32" t="s">
        <v>6</v>
      </c>
      <c r="E23" s="32">
        <v>0</v>
      </c>
      <c r="F23" s="32">
        <v>900</v>
      </c>
      <c r="G23" s="32" t="s">
        <v>35</v>
      </c>
    </row>
    <row r="26" spans="2:17" x14ac:dyDescent="0.25">
      <c r="B26" s="24" t="s">
        <v>27</v>
      </c>
    </row>
    <row r="27" spans="2:17" x14ac:dyDescent="0.25">
      <c r="C27" s="31" t="s">
        <v>21</v>
      </c>
      <c r="D27" s="31" t="s">
        <v>22</v>
      </c>
      <c r="E27" s="31" t="s">
        <v>28</v>
      </c>
      <c r="F27" s="31" t="s">
        <v>29</v>
      </c>
      <c r="G27" s="31" t="s">
        <v>30</v>
      </c>
      <c r="H27" s="31" t="s">
        <v>31</v>
      </c>
    </row>
    <row r="28" spans="2:17" x14ac:dyDescent="0.25">
      <c r="C28" s="32" t="s">
        <v>37</v>
      </c>
      <c r="D28" s="32" t="s">
        <v>38</v>
      </c>
      <c r="E28" s="32">
        <v>6100</v>
      </c>
      <c r="F28" s="32" t="s">
        <v>39</v>
      </c>
      <c r="G28" s="32" t="s">
        <v>48</v>
      </c>
      <c r="H28" s="32">
        <v>0</v>
      </c>
    </row>
    <row r="29" spans="2:17" x14ac:dyDescent="0.25">
      <c r="C29" s="32" t="s">
        <v>41</v>
      </c>
      <c r="D29" s="32" t="s">
        <v>42</v>
      </c>
      <c r="E29" s="32">
        <v>5800</v>
      </c>
      <c r="F29" s="32" t="s">
        <v>43</v>
      </c>
      <c r="G29" s="32" t="s">
        <v>40</v>
      </c>
      <c r="H29" s="32">
        <v>2200</v>
      </c>
    </row>
    <row r="30" spans="2:17" x14ac:dyDescent="0.25">
      <c r="C30" s="32" t="s">
        <v>44</v>
      </c>
      <c r="D30" s="32" t="s">
        <v>45</v>
      </c>
      <c r="E30" s="32">
        <v>5000</v>
      </c>
      <c r="F30" s="32" t="s">
        <v>46</v>
      </c>
      <c r="G30" s="32" t="s">
        <v>48</v>
      </c>
      <c r="H30" s="32">
        <v>0</v>
      </c>
    </row>
    <row r="31" spans="2:17" x14ac:dyDescent="0.25">
      <c r="C31" s="32" t="s">
        <v>34</v>
      </c>
      <c r="D31" s="32" t="s">
        <v>5</v>
      </c>
      <c r="E31" s="32">
        <v>500</v>
      </c>
      <c r="F31" s="32" t="s">
        <v>47</v>
      </c>
      <c r="G31" s="32" t="s">
        <v>40</v>
      </c>
      <c r="H31" s="32">
        <v>500</v>
      </c>
    </row>
    <row r="32" spans="2:17" x14ac:dyDescent="0.25">
      <c r="C32" s="32" t="s">
        <v>36</v>
      </c>
      <c r="D32" s="32" t="s">
        <v>6</v>
      </c>
      <c r="E32" s="32">
        <v>900</v>
      </c>
      <c r="F32" s="32" t="s">
        <v>49</v>
      </c>
      <c r="G32" s="32" t="s">
        <v>40</v>
      </c>
      <c r="H32" s="32">
        <v>900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B2:H11"/>
  <sheetViews>
    <sheetView view="pageBreakPreview" zoomScaleNormal="77" zoomScaleSheetLayoutView="100" workbookViewId="0">
      <selection activeCell="F11" sqref="F11:G11"/>
    </sheetView>
  </sheetViews>
  <sheetFormatPr defaultColWidth="8.77734375" defaultRowHeight="13.8" x14ac:dyDescent="0.25"/>
  <cols>
    <col min="1" max="1" width="8.77734375" style="37"/>
    <col min="2" max="2" width="24.6640625" style="37" bestFit="1" customWidth="1"/>
    <col min="3" max="7" width="8.77734375" style="37"/>
    <col min="8" max="8" width="13.21875" style="37" bestFit="1" customWidth="1"/>
    <col min="9" max="16384" width="8.77734375" style="37"/>
  </cols>
  <sheetData>
    <row r="2" spans="2:8" x14ac:dyDescent="0.25">
      <c r="B2" s="36" t="s">
        <v>0</v>
      </c>
      <c r="C2" s="36" t="s">
        <v>5</v>
      </c>
      <c r="D2" s="36" t="s">
        <v>6</v>
      </c>
      <c r="E2" s="36" t="s">
        <v>7</v>
      </c>
    </row>
    <row r="3" spans="2:8" x14ac:dyDescent="0.25">
      <c r="B3" s="38" t="s">
        <v>1</v>
      </c>
      <c r="C3" s="38">
        <v>2</v>
      </c>
      <c r="D3" s="38">
        <v>3</v>
      </c>
      <c r="E3" s="38">
        <f>C3*$F$11+D3*$G$11</f>
        <v>3700</v>
      </c>
      <c r="G3" s="36" t="s">
        <v>9</v>
      </c>
      <c r="H3" s="36" t="s">
        <v>10</v>
      </c>
    </row>
    <row r="4" spans="2:8" x14ac:dyDescent="0.25">
      <c r="B4" s="38" t="s">
        <v>2</v>
      </c>
      <c r="C4" s="38">
        <v>5</v>
      </c>
      <c r="D4" s="38">
        <v>4</v>
      </c>
      <c r="E4" s="38">
        <f t="shared" ref="E4:E6" si="0">C4*$F$11+D4*$G$11</f>
        <v>6100</v>
      </c>
      <c r="F4" s="38" t="s">
        <v>8</v>
      </c>
      <c r="G4" s="38">
        <v>6100</v>
      </c>
      <c r="H4" s="38"/>
    </row>
    <row r="5" spans="2:8" x14ac:dyDescent="0.25">
      <c r="B5" s="38" t="s">
        <v>3</v>
      </c>
      <c r="C5" s="38">
        <v>8</v>
      </c>
      <c r="D5" s="38">
        <v>2</v>
      </c>
      <c r="E5" s="38">
        <f t="shared" si="0"/>
        <v>5800</v>
      </c>
      <c r="F5" s="38" t="s">
        <v>8</v>
      </c>
      <c r="G5" s="38">
        <v>8000</v>
      </c>
      <c r="H5" s="38">
        <v>2200</v>
      </c>
    </row>
    <row r="6" spans="2:8" x14ac:dyDescent="0.25">
      <c r="B6" s="38" t="s">
        <v>4</v>
      </c>
      <c r="C6" s="38">
        <v>1</v>
      </c>
      <c r="D6" s="38">
        <v>5</v>
      </c>
      <c r="E6" s="38">
        <f t="shared" si="0"/>
        <v>5000</v>
      </c>
      <c r="F6" s="38" t="s">
        <v>8</v>
      </c>
      <c r="G6" s="38">
        <v>5000</v>
      </c>
      <c r="H6" s="38"/>
    </row>
    <row r="9" spans="2:8" x14ac:dyDescent="0.25">
      <c r="F9" s="50" t="s">
        <v>11</v>
      </c>
      <c r="G9" s="50"/>
    </row>
    <row r="10" spans="2:8" x14ac:dyDescent="0.25">
      <c r="F10" s="38" t="s">
        <v>5</v>
      </c>
      <c r="G10" s="38" t="s">
        <v>6</v>
      </c>
    </row>
    <row r="11" spans="2:8" x14ac:dyDescent="0.25">
      <c r="F11" s="38">
        <v>500</v>
      </c>
      <c r="G11" s="38">
        <v>900</v>
      </c>
    </row>
  </sheetData>
  <mergeCells count="1">
    <mergeCell ref="F9:G9"/>
  </mergeCells>
  <pageMargins left="0.25" right="0.25" top="0.75" bottom="0.75" header="0.3" footer="0.3"/>
  <pageSetup paperSize="9" fitToWidth="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A955-1DB1-4556-87B3-21F530910015}">
  <sheetPr>
    <tabColor rgb="FFFFFF00"/>
    <pageSetUpPr fitToPage="1"/>
  </sheetPr>
  <dimension ref="B2:S34"/>
  <sheetViews>
    <sheetView showGridLines="0" zoomScale="95" zoomScaleNormal="65" zoomScaleSheetLayoutView="92" workbookViewId="0">
      <selection activeCell="E3" sqref="E3"/>
    </sheetView>
  </sheetViews>
  <sheetFormatPr defaultRowHeight="13.8" x14ac:dyDescent="0.25"/>
  <cols>
    <col min="1" max="1" width="3.109375" style="24" customWidth="1"/>
    <col min="2" max="2" width="2.21875" style="24" customWidth="1"/>
    <col min="3" max="3" width="7.5546875" style="24" customWidth="1"/>
    <col min="4" max="4" width="26.109375" style="24" customWidth="1"/>
    <col min="5" max="5" width="15" style="24" bestFit="1" customWidth="1"/>
    <col min="6" max="6" width="11" style="24" bestFit="1" customWidth="1"/>
    <col min="7" max="7" width="10.44140625" style="24" bestFit="1" customWidth="1"/>
    <col min="8" max="8" width="5" style="24" bestFit="1" customWidth="1"/>
    <col min="9" max="9" width="8.88671875" style="24"/>
    <col min="10" max="10" width="13" style="24" customWidth="1"/>
    <col min="11" max="11" width="3.44140625" style="24" customWidth="1"/>
    <col min="12" max="12" width="5" style="24" customWidth="1"/>
    <col min="13" max="13" width="6.109375" style="24" bestFit="1" customWidth="1"/>
    <col min="14" max="14" width="24.6640625" style="24" customWidth="1"/>
    <col min="15" max="15" width="8.109375" style="24" bestFit="1" customWidth="1"/>
    <col min="16" max="16" width="11.5546875" style="24" bestFit="1" customWidth="1"/>
    <col min="17" max="17" width="14" style="24" bestFit="1" customWidth="1"/>
    <col min="18" max="19" width="12.5546875" style="24" bestFit="1" customWidth="1"/>
    <col min="20" max="20" width="1.88671875" style="24" customWidth="1"/>
    <col min="21" max="16384" width="8.88671875" style="24"/>
  </cols>
  <sheetData>
    <row r="2" spans="2:19" x14ac:dyDescent="0.25">
      <c r="B2" s="23" t="s">
        <v>12</v>
      </c>
      <c r="L2" s="23" t="s">
        <v>50</v>
      </c>
    </row>
    <row r="3" spans="2:19" x14ac:dyDescent="0.25">
      <c r="B3" s="23" t="s">
        <v>65</v>
      </c>
      <c r="D3" s="23" t="s">
        <v>370</v>
      </c>
      <c r="L3" s="23" t="s">
        <v>65</v>
      </c>
      <c r="N3" s="23" t="s">
        <v>370</v>
      </c>
    </row>
    <row r="4" spans="2:19" x14ac:dyDescent="0.25">
      <c r="B4" s="23" t="s">
        <v>81</v>
      </c>
      <c r="L4" s="23" t="s">
        <v>81</v>
      </c>
    </row>
    <row r="5" spans="2:19" x14ac:dyDescent="0.25">
      <c r="B5" s="23" t="s">
        <v>13</v>
      </c>
    </row>
    <row r="6" spans="2:19" x14ac:dyDescent="0.25">
      <c r="B6" s="23" t="s">
        <v>14</v>
      </c>
    </row>
    <row r="7" spans="2:19" x14ac:dyDescent="0.25">
      <c r="B7" s="23"/>
      <c r="C7" s="24" t="s">
        <v>15</v>
      </c>
      <c r="L7" s="24" t="s">
        <v>25</v>
      </c>
    </row>
    <row r="8" spans="2:19" x14ac:dyDescent="0.25">
      <c r="B8" s="23"/>
      <c r="C8" s="24" t="s">
        <v>66</v>
      </c>
      <c r="M8" s="33"/>
      <c r="N8" s="33"/>
      <c r="O8" s="33" t="s">
        <v>51</v>
      </c>
      <c r="P8" s="33" t="s">
        <v>53</v>
      </c>
      <c r="Q8" s="33" t="s">
        <v>55</v>
      </c>
      <c r="R8" s="33" t="s">
        <v>57</v>
      </c>
      <c r="S8" s="33" t="s">
        <v>57</v>
      </c>
    </row>
    <row r="9" spans="2:19" x14ac:dyDescent="0.25">
      <c r="B9" s="23"/>
      <c r="C9" s="24" t="s">
        <v>67</v>
      </c>
      <c r="M9" s="33" t="s">
        <v>21</v>
      </c>
      <c r="N9" s="33" t="s">
        <v>22</v>
      </c>
      <c r="O9" s="33" t="s">
        <v>52</v>
      </c>
      <c r="P9" s="33" t="s">
        <v>54</v>
      </c>
      <c r="Q9" s="33" t="s">
        <v>56</v>
      </c>
      <c r="R9" s="33" t="s">
        <v>58</v>
      </c>
      <c r="S9" s="33" t="s">
        <v>59</v>
      </c>
    </row>
    <row r="10" spans="2:19" x14ac:dyDescent="0.25">
      <c r="B10" s="23" t="s">
        <v>17</v>
      </c>
      <c r="M10" s="34" t="s">
        <v>34</v>
      </c>
      <c r="N10" s="34" t="s">
        <v>5</v>
      </c>
      <c r="O10" s="34">
        <v>0</v>
      </c>
      <c r="P10" s="34">
        <v>-3</v>
      </c>
      <c r="Q10" s="34">
        <v>32</v>
      </c>
      <c r="R10" s="34">
        <v>3</v>
      </c>
      <c r="S10" s="34">
        <v>1E+30</v>
      </c>
    </row>
    <row r="11" spans="2:19" x14ac:dyDescent="0.25">
      <c r="C11" s="24" t="s">
        <v>68</v>
      </c>
      <c r="M11" s="34" t="s">
        <v>36</v>
      </c>
      <c r="N11" s="34" t="s">
        <v>6</v>
      </c>
      <c r="O11" s="34">
        <v>300</v>
      </c>
      <c r="P11" s="34">
        <v>0</v>
      </c>
      <c r="Q11" s="34">
        <v>30</v>
      </c>
      <c r="R11" s="34">
        <v>90</v>
      </c>
      <c r="S11" s="34">
        <v>6</v>
      </c>
    </row>
    <row r="12" spans="2:19" x14ac:dyDescent="0.25">
      <c r="C12" s="24" t="s">
        <v>19</v>
      </c>
      <c r="M12" s="34" t="s">
        <v>70</v>
      </c>
      <c r="N12" s="34" t="s">
        <v>64</v>
      </c>
      <c r="O12" s="34">
        <v>375</v>
      </c>
      <c r="P12" s="34">
        <v>0</v>
      </c>
      <c r="Q12" s="34">
        <v>40</v>
      </c>
      <c r="R12" s="34">
        <v>20</v>
      </c>
      <c r="S12" s="34">
        <v>6</v>
      </c>
    </row>
    <row r="14" spans="2:19" x14ac:dyDescent="0.25">
      <c r="L14" s="24" t="s">
        <v>27</v>
      </c>
    </row>
    <row r="15" spans="2:19" x14ac:dyDescent="0.25">
      <c r="B15" s="24" t="s">
        <v>20</v>
      </c>
      <c r="M15" s="33"/>
      <c r="N15" s="33"/>
      <c r="O15" s="33" t="s">
        <v>51</v>
      </c>
      <c r="P15" s="33" t="s">
        <v>60</v>
      </c>
      <c r="Q15" s="33" t="s">
        <v>62</v>
      </c>
      <c r="R15" s="33" t="s">
        <v>57</v>
      </c>
      <c r="S15" s="33" t="s">
        <v>57</v>
      </c>
    </row>
    <row r="16" spans="2:19" x14ac:dyDescent="0.25">
      <c r="C16" s="33" t="s">
        <v>21</v>
      </c>
      <c r="D16" s="33" t="s">
        <v>22</v>
      </c>
      <c r="E16" s="33" t="s">
        <v>23</v>
      </c>
      <c r="F16" s="33" t="s">
        <v>24</v>
      </c>
      <c r="M16" s="33" t="s">
        <v>21</v>
      </c>
      <c r="N16" s="33" t="s">
        <v>22</v>
      </c>
      <c r="O16" s="33" t="s">
        <v>52</v>
      </c>
      <c r="P16" s="33" t="s">
        <v>61</v>
      </c>
      <c r="Q16" s="33" t="s">
        <v>63</v>
      </c>
      <c r="R16" s="33" t="s">
        <v>58</v>
      </c>
      <c r="S16" s="33" t="s">
        <v>59</v>
      </c>
    </row>
    <row r="17" spans="2:19" x14ac:dyDescent="0.25">
      <c r="C17" s="34" t="s">
        <v>69</v>
      </c>
      <c r="D17" s="34" t="s">
        <v>33</v>
      </c>
      <c r="E17" s="34">
        <v>24000</v>
      </c>
      <c r="F17" s="34">
        <v>24000</v>
      </c>
      <c r="M17" s="34" t="s">
        <v>71</v>
      </c>
      <c r="N17" s="34" t="s">
        <v>82</v>
      </c>
      <c r="O17" s="34">
        <v>2325</v>
      </c>
      <c r="P17" s="34">
        <v>0</v>
      </c>
      <c r="Q17" s="34">
        <v>2500</v>
      </c>
      <c r="R17" s="34">
        <v>1E+30</v>
      </c>
      <c r="S17" s="34">
        <v>175</v>
      </c>
    </row>
    <row r="18" spans="2:19" x14ac:dyDescent="0.25">
      <c r="M18" s="34" t="s">
        <v>73</v>
      </c>
      <c r="N18" s="34" t="s">
        <v>83</v>
      </c>
      <c r="O18" s="34">
        <v>1275</v>
      </c>
      <c r="P18" s="34">
        <v>4</v>
      </c>
      <c r="Q18" s="34">
        <v>1275</v>
      </c>
      <c r="R18" s="34">
        <v>175</v>
      </c>
      <c r="S18" s="34">
        <v>750</v>
      </c>
    </row>
    <row r="19" spans="2:19" x14ac:dyDescent="0.25">
      <c r="M19" s="34" t="s">
        <v>75</v>
      </c>
      <c r="N19" s="34" t="s">
        <v>84</v>
      </c>
      <c r="O19" s="34">
        <v>2100</v>
      </c>
      <c r="P19" s="34">
        <v>9</v>
      </c>
      <c r="Q19" s="34">
        <v>2100</v>
      </c>
      <c r="R19" s="34">
        <v>350</v>
      </c>
      <c r="S19" s="34">
        <v>1250</v>
      </c>
    </row>
    <row r="20" spans="2:19" x14ac:dyDescent="0.25">
      <c r="B20" s="24" t="s">
        <v>25</v>
      </c>
    </row>
    <row r="21" spans="2:19" x14ac:dyDescent="0.25">
      <c r="C21" s="33" t="s">
        <v>21</v>
      </c>
      <c r="D21" s="33" t="s">
        <v>22</v>
      </c>
      <c r="E21" s="33" t="s">
        <v>23</v>
      </c>
      <c r="F21" s="33" t="s">
        <v>24</v>
      </c>
      <c r="G21" s="33" t="s">
        <v>26</v>
      </c>
    </row>
    <row r="22" spans="2:19" x14ac:dyDescent="0.25">
      <c r="C22" s="34" t="s">
        <v>34</v>
      </c>
      <c r="D22" s="34" t="s">
        <v>5</v>
      </c>
      <c r="E22" s="34">
        <v>0</v>
      </c>
      <c r="F22" s="34">
        <v>0</v>
      </c>
      <c r="G22" s="34" t="s">
        <v>35</v>
      </c>
    </row>
    <row r="23" spans="2:19" x14ac:dyDescent="0.25">
      <c r="C23" s="34" t="s">
        <v>36</v>
      </c>
      <c r="D23" s="34" t="s">
        <v>6</v>
      </c>
      <c r="E23" s="34">
        <v>300</v>
      </c>
      <c r="F23" s="34">
        <v>300</v>
      </c>
      <c r="G23" s="34" t="s">
        <v>35</v>
      </c>
    </row>
    <row r="24" spans="2:19" x14ac:dyDescent="0.25">
      <c r="C24" s="34" t="s">
        <v>70</v>
      </c>
      <c r="D24" s="34" t="s">
        <v>64</v>
      </c>
      <c r="E24" s="34">
        <v>375</v>
      </c>
      <c r="F24" s="34">
        <v>375</v>
      </c>
      <c r="G24" s="34" t="s">
        <v>35</v>
      </c>
    </row>
    <row r="27" spans="2:19" x14ac:dyDescent="0.25">
      <c r="B27" s="24" t="s">
        <v>27</v>
      </c>
    </row>
    <row r="28" spans="2:19" x14ac:dyDescent="0.25">
      <c r="C28" s="33" t="s">
        <v>21</v>
      </c>
      <c r="D28" s="33" t="s">
        <v>22</v>
      </c>
      <c r="E28" s="33" t="s">
        <v>28</v>
      </c>
      <c r="F28" s="33" t="s">
        <v>29</v>
      </c>
      <c r="G28" s="33" t="s">
        <v>30</v>
      </c>
      <c r="H28" s="33" t="s">
        <v>31</v>
      </c>
    </row>
    <row r="29" spans="2:19" x14ac:dyDescent="0.25">
      <c r="C29" s="34" t="s">
        <v>71</v>
      </c>
      <c r="D29" s="34" t="s">
        <v>82</v>
      </c>
      <c r="E29" s="34">
        <v>2325</v>
      </c>
      <c r="F29" s="34" t="s">
        <v>72</v>
      </c>
      <c r="G29" s="34" t="s">
        <v>40</v>
      </c>
      <c r="H29" s="34">
        <v>175</v>
      </c>
    </row>
    <row r="30" spans="2:19" x14ac:dyDescent="0.25">
      <c r="C30" s="34" t="s">
        <v>73</v>
      </c>
      <c r="D30" s="34" t="s">
        <v>83</v>
      </c>
      <c r="E30" s="34">
        <v>1275</v>
      </c>
      <c r="F30" s="34" t="s">
        <v>74</v>
      </c>
      <c r="G30" s="34" t="s">
        <v>48</v>
      </c>
      <c r="H30" s="34">
        <v>0</v>
      </c>
    </row>
    <row r="31" spans="2:19" x14ac:dyDescent="0.25">
      <c r="C31" s="34" t="s">
        <v>75</v>
      </c>
      <c r="D31" s="34" t="s">
        <v>84</v>
      </c>
      <c r="E31" s="34">
        <v>2100</v>
      </c>
      <c r="F31" s="34" t="s">
        <v>76</v>
      </c>
      <c r="G31" s="34" t="s">
        <v>48</v>
      </c>
      <c r="H31" s="34">
        <v>0</v>
      </c>
    </row>
    <row r="32" spans="2:19" x14ac:dyDescent="0.25">
      <c r="C32" s="34" t="s">
        <v>34</v>
      </c>
      <c r="D32" s="34" t="s">
        <v>5</v>
      </c>
      <c r="E32" s="34">
        <v>0</v>
      </c>
      <c r="F32" s="34" t="s">
        <v>47</v>
      </c>
      <c r="G32" s="34" t="s">
        <v>48</v>
      </c>
      <c r="H32" s="34">
        <v>0</v>
      </c>
    </row>
    <row r="33" spans="3:8" x14ac:dyDescent="0.25">
      <c r="C33" s="34" t="s">
        <v>36</v>
      </c>
      <c r="D33" s="34" t="s">
        <v>6</v>
      </c>
      <c r="E33" s="34">
        <v>300</v>
      </c>
      <c r="F33" s="34" t="s">
        <v>49</v>
      </c>
      <c r="G33" s="34" t="s">
        <v>40</v>
      </c>
      <c r="H33" s="34">
        <v>300</v>
      </c>
    </row>
    <row r="34" spans="3:8" x14ac:dyDescent="0.25">
      <c r="C34" s="34" t="s">
        <v>70</v>
      </c>
      <c r="D34" s="34" t="s">
        <v>64</v>
      </c>
      <c r="E34" s="34">
        <v>375</v>
      </c>
      <c r="F34" s="34" t="s">
        <v>77</v>
      </c>
      <c r="G34" s="34" t="s">
        <v>40</v>
      </c>
      <c r="H34" s="34">
        <v>375</v>
      </c>
    </row>
  </sheetData>
  <pageMargins left="0.25" right="0.25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A3BD-4CD2-406A-96F4-A366B62D0AFB}">
  <sheetPr>
    <tabColor rgb="FFFFFF00"/>
    <pageSetUpPr fitToPage="1"/>
  </sheetPr>
  <dimension ref="B2:I11"/>
  <sheetViews>
    <sheetView view="pageBreakPreview" zoomScale="110" zoomScaleNormal="71" workbookViewId="0">
      <selection activeCell="G3" sqref="G3"/>
    </sheetView>
  </sheetViews>
  <sheetFormatPr defaultRowHeight="14.4" x14ac:dyDescent="0.3"/>
  <cols>
    <col min="2" max="2" width="26.5546875" customWidth="1"/>
    <col min="3" max="8" width="7.77734375" customWidth="1"/>
    <col min="9" max="9" width="18.109375" bestFit="1" customWidth="1"/>
  </cols>
  <sheetData>
    <row r="2" spans="2:9" x14ac:dyDescent="0.3">
      <c r="B2" s="36" t="s">
        <v>0</v>
      </c>
      <c r="C2" s="36" t="s">
        <v>5</v>
      </c>
      <c r="D2" s="36" t="s">
        <v>6</v>
      </c>
      <c r="E2" s="36" t="s">
        <v>64</v>
      </c>
      <c r="F2" s="36" t="s">
        <v>7</v>
      </c>
      <c r="G2" s="37"/>
      <c r="H2" s="37"/>
      <c r="I2" s="37"/>
    </row>
    <row r="3" spans="2:9" x14ac:dyDescent="0.3">
      <c r="B3" s="38" t="s">
        <v>1</v>
      </c>
      <c r="C3" s="38">
        <v>32</v>
      </c>
      <c r="D3" s="38">
        <v>30</v>
      </c>
      <c r="E3" s="38">
        <v>40</v>
      </c>
      <c r="F3" s="38">
        <f>C3*$F$11+D3*$G$11+E3*$H$11</f>
        <v>24000</v>
      </c>
      <c r="G3" s="37"/>
      <c r="H3" s="36" t="s">
        <v>9</v>
      </c>
      <c r="I3" s="36" t="s">
        <v>10</v>
      </c>
    </row>
    <row r="4" spans="2:9" x14ac:dyDescent="0.3">
      <c r="B4" s="38" t="s">
        <v>78</v>
      </c>
      <c r="C4" s="38">
        <v>5</v>
      </c>
      <c r="D4" s="38">
        <v>4</v>
      </c>
      <c r="E4" s="38">
        <v>3</v>
      </c>
      <c r="F4" s="38">
        <f t="shared" ref="F4:F6" si="0">C4*$F$11+D4*$G$11+E4*$H$11</f>
        <v>2325</v>
      </c>
      <c r="G4" s="38" t="s">
        <v>8</v>
      </c>
      <c r="H4" s="38">
        <v>2500</v>
      </c>
      <c r="I4" s="38">
        <v>175</v>
      </c>
    </row>
    <row r="5" spans="2:9" x14ac:dyDescent="0.3">
      <c r="B5" s="38" t="s">
        <v>79</v>
      </c>
      <c r="C5" s="38">
        <v>2</v>
      </c>
      <c r="D5" s="38">
        <v>3</v>
      </c>
      <c r="E5" s="38">
        <v>1</v>
      </c>
      <c r="F5" s="38">
        <f t="shared" si="0"/>
        <v>1275</v>
      </c>
      <c r="G5" s="38" t="s">
        <v>8</v>
      </c>
      <c r="H5" s="38">
        <v>1275</v>
      </c>
      <c r="I5" s="38"/>
    </row>
    <row r="6" spans="2:9" x14ac:dyDescent="0.3">
      <c r="B6" s="38" t="s">
        <v>80</v>
      </c>
      <c r="C6" s="38">
        <v>3</v>
      </c>
      <c r="D6" s="38">
        <v>2</v>
      </c>
      <c r="E6" s="38">
        <v>4</v>
      </c>
      <c r="F6" s="38">
        <f t="shared" si="0"/>
        <v>2100</v>
      </c>
      <c r="G6" s="38" t="s">
        <v>8</v>
      </c>
      <c r="H6" s="38">
        <v>2100</v>
      </c>
      <c r="I6" s="38"/>
    </row>
    <row r="7" spans="2:9" x14ac:dyDescent="0.3">
      <c r="B7" s="37"/>
      <c r="C7" s="37"/>
      <c r="D7" s="37"/>
      <c r="E7" s="37"/>
      <c r="F7" s="37"/>
      <c r="G7" s="37"/>
      <c r="H7" s="37"/>
      <c r="I7" s="37"/>
    </row>
    <row r="8" spans="2:9" x14ac:dyDescent="0.3">
      <c r="B8" s="37"/>
      <c r="C8" s="37"/>
      <c r="D8" s="37"/>
      <c r="E8" s="37"/>
      <c r="F8" s="37"/>
      <c r="G8" s="37"/>
      <c r="H8" s="37"/>
      <c r="I8" s="37"/>
    </row>
    <row r="9" spans="2:9" x14ac:dyDescent="0.3">
      <c r="B9" s="37"/>
      <c r="C9" s="37"/>
      <c r="D9" s="37"/>
      <c r="E9" s="37"/>
      <c r="F9" s="51" t="s">
        <v>11</v>
      </c>
      <c r="G9" s="52"/>
      <c r="H9" s="52"/>
    </row>
    <row r="10" spans="2:9" x14ac:dyDescent="0.3">
      <c r="B10" s="37"/>
      <c r="C10" s="37"/>
      <c r="D10" s="37"/>
      <c r="E10" s="37"/>
      <c r="F10" s="38" t="s">
        <v>5</v>
      </c>
      <c r="G10" s="38" t="s">
        <v>6</v>
      </c>
      <c r="H10" s="38" t="s">
        <v>64</v>
      </c>
    </row>
    <row r="11" spans="2:9" x14ac:dyDescent="0.3">
      <c r="B11" s="37"/>
      <c r="C11" s="37"/>
      <c r="D11" s="37"/>
      <c r="E11" s="37"/>
      <c r="F11" s="38">
        <v>0</v>
      </c>
      <c r="G11" s="38">
        <v>300</v>
      </c>
      <c r="H11" s="38">
        <v>375</v>
      </c>
    </row>
  </sheetData>
  <mergeCells count="1">
    <mergeCell ref="F9:H9"/>
  </mergeCells>
  <phoneticPr fontId="2" type="noConversion"/>
  <pageMargins left="0.25" right="0.25" top="0.75" bottom="0.75" header="0.3" footer="0.3"/>
  <pageSetup paperSize="9" fitToWidth="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C465-A685-4ABC-862C-71D3A0634DDD}">
  <sheetPr>
    <tabColor rgb="FFFF0000"/>
    <pageSetUpPr fitToPage="1"/>
  </sheetPr>
  <dimension ref="B2:R32"/>
  <sheetViews>
    <sheetView showGridLines="0" zoomScale="104" zoomScaleNormal="70" workbookViewId="0">
      <selection activeCell="J4" sqref="J4"/>
    </sheetView>
  </sheetViews>
  <sheetFormatPr defaultRowHeight="13.8" x14ac:dyDescent="0.25"/>
  <cols>
    <col min="1" max="1" width="1.5546875" style="24" customWidth="1"/>
    <col min="2" max="2" width="2.21875" style="24" customWidth="1"/>
    <col min="3" max="3" width="7.5546875" style="24" customWidth="1"/>
    <col min="4" max="4" width="27.88671875" style="24" bestFit="1" customWidth="1"/>
    <col min="5" max="5" width="12.44140625" style="24" bestFit="1" customWidth="1"/>
    <col min="6" max="6" width="11.88671875" style="24" bestFit="1" customWidth="1"/>
    <col min="7" max="7" width="12.6640625" style="24" bestFit="1" customWidth="1"/>
    <col min="8" max="8" width="7.88671875" style="24" bestFit="1" customWidth="1"/>
    <col min="9" max="9" width="8.88671875" style="24"/>
    <col min="10" max="10" width="13.33203125" style="24" customWidth="1"/>
    <col min="11" max="11" width="2.21875" style="24" customWidth="1"/>
    <col min="12" max="12" width="8.6640625" style="24" customWidth="1"/>
    <col min="13" max="13" width="15" style="24" bestFit="1" customWidth="1"/>
    <col min="14" max="14" width="6.109375" style="24" bestFit="1" customWidth="1"/>
    <col min="15" max="15" width="8.44140625" style="24" bestFit="1" customWidth="1"/>
    <col min="16" max="16" width="10.5546875" style="24" bestFit="1" customWidth="1"/>
    <col min="17" max="17" width="9.5546875" style="24" bestFit="1" customWidth="1"/>
    <col min="18" max="18" width="12" style="24" bestFit="1" customWidth="1"/>
    <col min="19" max="19" width="2.21875" style="24" customWidth="1"/>
    <col min="20" max="16384" width="8.88671875" style="24"/>
  </cols>
  <sheetData>
    <row r="2" spans="2:18" x14ac:dyDescent="0.25">
      <c r="B2" s="23" t="s">
        <v>12</v>
      </c>
      <c r="K2" s="23" t="s">
        <v>50</v>
      </c>
    </row>
    <row r="3" spans="2:18" x14ac:dyDescent="0.25">
      <c r="B3" s="23" t="s">
        <v>89</v>
      </c>
      <c r="D3" s="23" t="s">
        <v>363</v>
      </c>
      <c r="K3" s="23" t="s">
        <v>89</v>
      </c>
      <c r="M3" s="23" t="s">
        <v>363</v>
      </c>
    </row>
    <row r="4" spans="2:18" x14ac:dyDescent="0.25">
      <c r="B4" s="23" t="s">
        <v>90</v>
      </c>
      <c r="K4" s="23" t="s">
        <v>90</v>
      </c>
    </row>
    <row r="5" spans="2:18" x14ac:dyDescent="0.25">
      <c r="B5" s="23" t="s">
        <v>13</v>
      </c>
    </row>
    <row r="6" spans="2:18" x14ac:dyDescent="0.25">
      <c r="B6" s="23" t="s">
        <v>14</v>
      </c>
    </row>
    <row r="7" spans="2:18" x14ac:dyDescent="0.25">
      <c r="B7" s="23"/>
      <c r="C7" s="24" t="s">
        <v>15</v>
      </c>
      <c r="K7" s="24" t="s">
        <v>25</v>
      </c>
    </row>
    <row r="8" spans="2:18" x14ac:dyDescent="0.25">
      <c r="B8" s="23"/>
      <c r="C8" s="24" t="s">
        <v>91</v>
      </c>
      <c r="L8" s="31"/>
      <c r="M8" s="31"/>
      <c r="N8" s="31" t="s">
        <v>51</v>
      </c>
      <c r="O8" s="31" t="s">
        <v>53</v>
      </c>
      <c r="P8" s="31" t="s">
        <v>55</v>
      </c>
      <c r="Q8" s="31" t="s">
        <v>57</v>
      </c>
      <c r="R8" s="31" t="s">
        <v>57</v>
      </c>
    </row>
    <row r="9" spans="2:18" x14ac:dyDescent="0.25">
      <c r="B9" s="23"/>
      <c r="C9" s="24" t="s">
        <v>92</v>
      </c>
      <c r="L9" s="31" t="s">
        <v>21</v>
      </c>
      <c r="M9" s="31" t="s">
        <v>22</v>
      </c>
      <c r="N9" s="31" t="s">
        <v>52</v>
      </c>
      <c r="O9" s="31" t="s">
        <v>54</v>
      </c>
      <c r="P9" s="31" t="s">
        <v>56</v>
      </c>
      <c r="Q9" s="31" t="s">
        <v>58</v>
      </c>
      <c r="R9" s="31" t="s">
        <v>59</v>
      </c>
    </row>
    <row r="10" spans="2:18" x14ac:dyDescent="0.25">
      <c r="B10" s="23" t="s">
        <v>17</v>
      </c>
      <c r="L10" s="32" t="s">
        <v>94</v>
      </c>
      <c r="M10" s="32" t="s">
        <v>5</v>
      </c>
      <c r="N10" s="32">
        <v>0</v>
      </c>
      <c r="O10" s="32">
        <v>0.19999999999999987</v>
      </c>
      <c r="P10" s="32">
        <v>5</v>
      </c>
      <c r="Q10" s="32">
        <v>1E+30</v>
      </c>
      <c r="R10" s="32">
        <v>0.19999999999999987</v>
      </c>
    </row>
    <row r="11" spans="2:18" x14ac:dyDescent="0.25">
      <c r="C11" s="24" t="s">
        <v>68</v>
      </c>
      <c r="L11" s="32" t="s">
        <v>95</v>
      </c>
      <c r="M11" s="32" t="s">
        <v>6</v>
      </c>
      <c r="N11" s="32">
        <v>13.999999999999998</v>
      </c>
      <c r="O11" s="32">
        <v>0</v>
      </c>
      <c r="P11" s="32">
        <v>3</v>
      </c>
      <c r="Q11" s="32">
        <v>0.12499999999999993</v>
      </c>
      <c r="R11" s="32">
        <v>3.0000000000000004</v>
      </c>
    </row>
    <row r="12" spans="2:18" x14ac:dyDescent="0.25">
      <c r="C12" s="24" t="s">
        <v>19</v>
      </c>
    </row>
    <row r="13" spans="2:18" x14ac:dyDescent="0.25">
      <c r="K13" s="24" t="s">
        <v>27</v>
      </c>
    </row>
    <row r="14" spans="2:18" x14ac:dyDescent="0.25">
      <c r="L14" s="31"/>
      <c r="M14" s="31"/>
      <c r="N14" s="31" t="s">
        <v>51</v>
      </c>
      <c r="O14" s="31" t="s">
        <v>60</v>
      </c>
      <c r="P14" s="31" t="s">
        <v>62</v>
      </c>
      <c r="Q14" s="31" t="s">
        <v>57</v>
      </c>
      <c r="R14" s="31" t="s">
        <v>57</v>
      </c>
    </row>
    <row r="15" spans="2:18" x14ac:dyDescent="0.25">
      <c r="B15" s="24" t="s">
        <v>93</v>
      </c>
      <c r="L15" s="31" t="s">
        <v>21</v>
      </c>
      <c r="M15" s="31" t="s">
        <v>22</v>
      </c>
      <c r="N15" s="31" t="s">
        <v>52</v>
      </c>
      <c r="O15" s="31" t="s">
        <v>61</v>
      </c>
      <c r="P15" s="31" t="s">
        <v>63</v>
      </c>
      <c r="Q15" s="31" t="s">
        <v>58</v>
      </c>
      <c r="R15" s="31" t="s">
        <v>59</v>
      </c>
    </row>
    <row r="16" spans="2:18" x14ac:dyDescent="0.25">
      <c r="C16" s="31" t="s">
        <v>21</v>
      </c>
      <c r="D16" s="31" t="s">
        <v>22</v>
      </c>
      <c r="E16" s="31" t="s">
        <v>23</v>
      </c>
      <c r="F16" s="31" t="s">
        <v>24</v>
      </c>
      <c r="L16" s="32" t="s">
        <v>37</v>
      </c>
      <c r="M16" s="32" t="s">
        <v>96</v>
      </c>
      <c r="N16" s="32">
        <v>419.99999999999994</v>
      </c>
      <c r="O16" s="32">
        <v>0</v>
      </c>
      <c r="P16" s="32">
        <v>200</v>
      </c>
      <c r="Q16" s="32">
        <v>219.99999999999997</v>
      </c>
      <c r="R16" s="32">
        <v>1E+30</v>
      </c>
    </row>
    <row r="17" spans="2:18" x14ac:dyDescent="0.25">
      <c r="C17" s="32" t="s">
        <v>32</v>
      </c>
      <c r="D17" s="32" t="s">
        <v>33</v>
      </c>
      <c r="E17" s="32">
        <v>0</v>
      </c>
      <c r="F17" s="32">
        <v>41.999999999999993</v>
      </c>
      <c r="L17" s="32" t="s">
        <v>41</v>
      </c>
      <c r="M17" s="32" t="s">
        <v>98</v>
      </c>
      <c r="N17" s="32">
        <v>349.99999999999994</v>
      </c>
      <c r="O17" s="32">
        <v>0.12</v>
      </c>
      <c r="P17" s="32">
        <v>350</v>
      </c>
      <c r="Q17" s="32">
        <v>1E+30</v>
      </c>
      <c r="R17" s="32">
        <v>111.1111111111111</v>
      </c>
    </row>
    <row r="18" spans="2:18" x14ac:dyDescent="0.25">
      <c r="L18" s="32" t="s">
        <v>44</v>
      </c>
      <c r="M18" s="32" t="s">
        <v>100</v>
      </c>
      <c r="N18" s="32">
        <v>629.99999999999989</v>
      </c>
      <c r="O18" s="32">
        <v>0</v>
      </c>
      <c r="P18" s="32">
        <v>430</v>
      </c>
      <c r="Q18" s="32">
        <v>199.99999999999997</v>
      </c>
      <c r="R18" s="32">
        <v>1E+30</v>
      </c>
    </row>
    <row r="20" spans="2:18" x14ac:dyDescent="0.25">
      <c r="B20" s="24" t="s">
        <v>25</v>
      </c>
    </row>
    <row r="21" spans="2:18" x14ac:dyDescent="0.25">
      <c r="C21" s="31" t="s">
        <v>21</v>
      </c>
      <c r="D21" s="31" t="s">
        <v>22</v>
      </c>
      <c r="E21" s="31" t="s">
        <v>23</v>
      </c>
      <c r="F21" s="31" t="s">
        <v>24</v>
      </c>
      <c r="G21" s="31" t="s">
        <v>26</v>
      </c>
    </row>
    <row r="22" spans="2:18" x14ac:dyDescent="0.25">
      <c r="C22" s="32" t="s">
        <v>94</v>
      </c>
      <c r="D22" s="32" t="s">
        <v>5</v>
      </c>
      <c r="E22" s="32">
        <v>0</v>
      </c>
      <c r="F22" s="32">
        <v>0</v>
      </c>
      <c r="G22" s="32" t="s">
        <v>35</v>
      </c>
    </row>
    <row r="23" spans="2:18" x14ac:dyDescent="0.25">
      <c r="C23" s="32" t="s">
        <v>95</v>
      </c>
      <c r="D23" s="32" t="s">
        <v>6</v>
      </c>
      <c r="E23" s="32">
        <v>0</v>
      </c>
      <c r="F23" s="32">
        <v>13.999999999999998</v>
      </c>
      <c r="G23" s="32" t="s">
        <v>35</v>
      </c>
    </row>
    <row r="26" spans="2:18" x14ac:dyDescent="0.25">
      <c r="B26" s="24" t="s">
        <v>27</v>
      </c>
    </row>
    <row r="27" spans="2:18" x14ac:dyDescent="0.25">
      <c r="C27" s="31" t="s">
        <v>21</v>
      </c>
      <c r="D27" s="31" t="s">
        <v>22</v>
      </c>
      <c r="E27" s="31" t="s">
        <v>28</v>
      </c>
      <c r="F27" s="31" t="s">
        <v>29</v>
      </c>
      <c r="G27" s="31" t="s">
        <v>30</v>
      </c>
      <c r="H27" s="31" t="s">
        <v>31</v>
      </c>
    </row>
    <row r="28" spans="2:18" x14ac:dyDescent="0.25">
      <c r="C28" s="32" t="s">
        <v>37</v>
      </c>
      <c r="D28" s="32" t="s">
        <v>96</v>
      </c>
      <c r="E28" s="32">
        <v>419.99999999999994</v>
      </c>
      <c r="F28" s="32" t="s">
        <v>97</v>
      </c>
      <c r="G28" s="32" t="s">
        <v>40</v>
      </c>
      <c r="H28" s="32">
        <v>219.99999999999994</v>
      </c>
    </row>
    <row r="29" spans="2:18" x14ac:dyDescent="0.25">
      <c r="C29" s="32" t="s">
        <v>41</v>
      </c>
      <c r="D29" s="32" t="s">
        <v>98</v>
      </c>
      <c r="E29" s="32">
        <v>349.99999999999994</v>
      </c>
      <c r="F29" s="32" t="s">
        <v>99</v>
      </c>
      <c r="G29" s="32" t="s">
        <v>48</v>
      </c>
      <c r="H29" s="32">
        <v>0</v>
      </c>
    </row>
    <row r="30" spans="2:18" x14ac:dyDescent="0.25">
      <c r="C30" s="32" t="s">
        <v>44</v>
      </c>
      <c r="D30" s="32" t="s">
        <v>100</v>
      </c>
      <c r="E30" s="32">
        <v>629.99999999999989</v>
      </c>
      <c r="F30" s="32" t="s">
        <v>101</v>
      </c>
      <c r="G30" s="32" t="s">
        <v>40</v>
      </c>
      <c r="H30" s="32">
        <v>199.99999999999989</v>
      </c>
    </row>
    <row r="31" spans="2:18" x14ac:dyDescent="0.25">
      <c r="C31" s="32" t="s">
        <v>94</v>
      </c>
      <c r="D31" s="32" t="s">
        <v>5</v>
      </c>
      <c r="E31" s="32">
        <v>0</v>
      </c>
      <c r="F31" s="32" t="s">
        <v>102</v>
      </c>
      <c r="G31" s="32" t="s">
        <v>48</v>
      </c>
      <c r="H31" s="32">
        <v>0</v>
      </c>
    </row>
    <row r="32" spans="2:18" x14ac:dyDescent="0.25">
      <c r="C32" s="32" t="s">
        <v>95</v>
      </c>
      <c r="D32" s="32" t="s">
        <v>6</v>
      </c>
      <c r="E32" s="32">
        <v>13.999999999999998</v>
      </c>
      <c r="F32" s="32" t="s">
        <v>103</v>
      </c>
      <c r="G32" s="32" t="s">
        <v>40</v>
      </c>
      <c r="H32" s="32">
        <v>13.999999999999998</v>
      </c>
    </row>
  </sheetData>
  <pageMargins left="0.7" right="0.7" top="0.75" bottom="0.75" header="0.3" footer="0.3"/>
  <pageSetup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044E-3F1F-42CA-A943-600A1547F720}">
  <sheetPr>
    <tabColor rgb="FFFF0000"/>
    <pageSetUpPr fitToPage="1"/>
  </sheetPr>
  <dimension ref="B2:G11"/>
  <sheetViews>
    <sheetView view="pageBreakPreview" zoomScale="134" zoomScaleNormal="99" workbookViewId="0">
      <selection activeCell="E3" sqref="E3"/>
    </sheetView>
  </sheetViews>
  <sheetFormatPr defaultRowHeight="14.4" x14ac:dyDescent="0.3"/>
  <cols>
    <col min="1" max="1" width="3.21875" customWidth="1"/>
    <col min="2" max="2" width="29.109375" customWidth="1"/>
    <col min="6" max="7" width="10.33203125" customWidth="1"/>
  </cols>
  <sheetData>
    <row r="2" spans="2:7" x14ac:dyDescent="0.3">
      <c r="B2" s="36" t="s">
        <v>0</v>
      </c>
      <c r="C2" s="36" t="s">
        <v>5</v>
      </c>
      <c r="D2" s="36" t="s">
        <v>6</v>
      </c>
      <c r="E2" s="36" t="s">
        <v>7</v>
      </c>
      <c r="F2" s="37"/>
      <c r="G2" s="37"/>
    </row>
    <row r="3" spans="2:7" x14ac:dyDescent="0.3">
      <c r="B3" s="38" t="s">
        <v>1</v>
      </c>
      <c r="C3" s="38">
        <v>5</v>
      </c>
      <c r="D3" s="38">
        <v>3</v>
      </c>
      <c r="E3" s="38">
        <f>C3*$F$10+D3*$G$10</f>
        <v>41.999999999999993</v>
      </c>
      <c r="F3" s="37"/>
    </row>
    <row r="4" spans="2:7" x14ac:dyDescent="0.3">
      <c r="B4" s="38" t="s">
        <v>85</v>
      </c>
      <c r="C4" s="38">
        <v>20</v>
      </c>
      <c r="D4" s="38">
        <v>30</v>
      </c>
      <c r="E4" s="38">
        <f t="shared" ref="E4:E6" si="0">C4*$F$10+D4*$G$10</f>
        <v>419.99999999999994</v>
      </c>
      <c r="F4" s="38" t="s">
        <v>88</v>
      </c>
      <c r="G4" s="38">
        <v>200</v>
      </c>
    </row>
    <row r="5" spans="2:7" x14ac:dyDescent="0.3">
      <c r="B5" s="38" t="s">
        <v>86</v>
      </c>
      <c r="C5" s="38">
        <v>40</v>
      </c>
      <c r="D5" s="38">
        <v>25</v>
      </c>
      <c r="E5" s="38">
        <f t="shared" si="0"/>
        <v>349.99999999999994</v>
      </c>
      <c r="F5" s="38" t="s">
        <v>88</v>
      </c>
      <c r="G5" s="38">
        <v>350</v>
      </c>
    </row>
    <row r="6" spans="2:7" x14ac:dyDescent="0.3">
      <c r="B6" s="38" t="s">
        <v>87</v>
      </c>
      <c r="C6" s="38">
        <v>30</v>
      </c>
      <c r="D6" s="38">
        <v>45</v>
      </c>
      <c r="E6" s="38">
        <f t="shared" si="0"/>
        <v>629.99999999999989</v>
      </c>
      <c r="F6" s="38" t="s">
        <v>88</v>
      </c>
      <c r="G6" s="38">
        <v>430</v>
      </c>
    </row>
    <row r="7" spans="2:7" x14ac:dyDescent="0.3">
      <c r="B7" s="37"/>
      <c r="C7" s="37"/>
      <c r="D7" s="37"/>
      <c r="E7" s="37"/>
      <c r="F7" s="37"/>
      <c r="G7" s="37"/>
    </row>
    <row r="8" spans="2:7" x14ac:dyDescent="0.3">
      <c r="B8" s="37"/>
      <c r="C8" s="37"/>
      <c r="D8" s="37"/>
      <c r="E8" s="37"/>
      <c r="F8" s="50" t="s">
        <v>11</v>
      </c>
      <c r="G8" s="50"/>
    </row>
    <row r="9" spans="2:7" x14ac:dyDescent="0.3">
      <c r="B9" s="37"/>
      <c r="C9" s="37"/>
      <c r="D9" s="37"/>
      <c r="F9" s="38" t="s">
        <v>5</v>
      </c>
      <c r="G9" s="38" t="s">
        <v>6</v>
      </c>
    </row>
    <row r="10" spans="2:7" x14ac:dyDescent="0.3">
      <c r="B10" s="37"/>
      <c r="C10" s="37"/>
      <c r="D10" s="37"/>
      <c r="F10" s="38">
        <v>0</v>
      </c>
      <c r="G10" s="38">
        <v>13.999999999999998</v>
      </c>
    </row>
    <row r="11" spans="2:7" x14ac:dyDescent="0.3">
      <c r="B11" s="37"/>
      <c r="C11" s="37"/>
      <c r="D11" s="37"/>
    </row>
  </sheetData>
  <mergeCells count="1">
    <mergeCell ref="F8:G8"/>
  </mergeCells>
  <pageMargins left="0.25" right="0.25" top="0.75" bottom="0.75" header="0.3" footer="0.3"/>
  <pageSetup paperSize="9" fitToWidth="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F77B-349D-4283-8989-1E34534812B7}">
  <sheetPr>
    <tabColor rgb="FFFF0000"/>
    <pageSetUpPr fitToPage="1"/>
  </sheetPr>
  <dimension ref="B2:P32"/>
  <sheetViews>
    <sheetView showGridLines="0" zoomScale="80" workbookViewId="0">
      <selection activeCell="K3" sqref="K3"/>
    </sheetView>
  </sheetViews>
  <sheetFormatPr defaultRowHeight="13.8" x14ac:dyDescent="0.25"/>
  <cols>
    <col min="1" max="1" width="5" style="24" customWidth="1"/>
    <col min="2" max="2" width="2.33203125" style="24" customWidth="1"/>
    <col min="3" max="3" width="8.44140625" style="24" customWidth="1"/>
    <col min="4" max="4" width="21.33203125" style="24" bestFit="1" customWidth="1"/>
    <col min="5" max="5" width="12.6640625" style="24" bestFit="1" customWidth="1"/>
    <col min="6" max="6" width="12" style="24" bestFit="1" customWidth="1"/>
    <col min="7" max="7" width="10.44140625" style="24" bestFit="1" customWidth="1"/>
    <col min="8" max="8" width="20.33203125" style="24" customWidth="1"/>
    <col min="9" max="9" width="2.33203125" style="24" customWidth="1"/>
    <col min="10" max="10" width="7.88671875" style="24" customWidth="1"/>
    <col min="11" max="11" width="12.6640625" style="24" bestFit="1" customWidth="1"/>
    <col min="12" max="13" width="12" style="24" bestFit="1" customWidth="1"/>
    <col min="14" max="14" width="10.109375" style="24" bestFit="1" customWidth="1"/>
    <col min="15" max="16" width="12" style="24" bestFit="1" customWidth="1"/>
    <col min="17" max="16384" width="8.88671875" style="24"/>
  </cols>
  <sheetData>
    <row r="2" spans="2:16" x14ac:dyDescent="0.25">
      <c r="B2" s="23" t="s">
        <v>12</v>
      </c>
      <c r="I2" s="23" t="s">
        <v>50</v>
      </c>
    </row>
    <row r="3" spans="2:16" x14ac:dyDescent="0.25">
      <c r="B3" s="23" t="s">
        <v>107</v>
      </c>
      <c r="D3" s="23" t="s">
        <v>364</v>
      </c>
      <c r="I3" s="23" t="s">
        <v>107</v>
      </c>
      <c r="K3" s="23" t="s">
        <v>363</v>
      </c>
    </row>
    <row r="4" spans="2:16" x14ac:dyDescent="0.25">
      <c r="B4" s="23" t="s">
        <v>359</v>
      </c>
      <c r="I4" s="23" t="s">
        <v>359</v>
      </c>
    </row>
    <row r="5" spans="2:16" x14ac:dyDescent="0.25">
      <c r="B5" s="23" t="s">
        <v>13</v>
      </c>
    </row>
    <row r="6" spans="2:16" x14ac:dyDescent="0.25">
      <c r="B6" s="23" t="s">
        <v>14</v>
      </c>
    </row>
    <row r="7" spans="2:16" x14ac:dyDescent="0.25">
      <c r="B7" s="23"/>
      <c r="C7" s="24" t="s">
        <v>15</v>
      </c>
      <c r="I7" s="24" t="s">
        <v>25</v>
      </c>
    </row>
    <row r="8" spans="2:16" x14ac:dyDescent="0.25">
      <c r="B8" s="23"/>
      <c r="C8" s="24" t="s">
        <v>66</v>
      </c>
      <c r="J8" s="47"/>
      <c r="K8" s="47"/>
      <c r="L8" s="47" t="s">
        <v>51</v>
      </c>
      <c r="M8" s="47" t="s">
        <v>53</v>
      </c>
      <c r="N8" s="47" t="s">
        <v>55</v>
      </c>
      <c r="O8" s="47" t="s">
        <v>57</v>
      </c>
      <c r="P8" s="47" t="s">
        <v>57</v>
      </c>
    </row>
    <row r="9" spans="2:16" x14ac:dyDescent="0.25">
      <c r="B9" s="23"/>
      <c r="C9" s="24" t="s">
        <v>92</v>
      </c>
      <c r="J9" s="47" t="s">
        <v>21</v>
      </c>
      <c r="K9" s="47" t="s">
        <v>22</v>
      </c>
      <c r="L9" s="47" t="s">
        <v>52</v>
      </c>
      <c r="M9" s="47" t="s">
        <v>54</v>
      </c>
      <c r="N9" s="47" t="s">
        <v>56</v>
      </c>
      <c r="O9" s="47" t="s">
        <v>58</v>
      </c>
      <c r="P9" s="47" t="s">
        <v>59</v>
      </c>
    </row>
    <row r="10" spans="2:16" x14ac:dyDescent="0.25">
      <c r="B10" s="23" t="s">
        <v>17</v>
      </c>
      <c r="J10" s="48" t="s">
        <v>94</v>
      </c>
      <c r="K10" s="48" t="s">
        <v>5</v>
      </c>
      <c r="L10" s="48">
        <v>6.0714285714285703</v>
      </c>
      <c r="M10" s="48">
        <v>0</v>
      </c>
      <c r="N10" s="48">
        <v>8</v>
      </c>
      <c r="O10" s="48">
        <v>2.0000000000000009</v>
      </c>
      <c r="P10" s="48">
        <v>5.0000000000000018</v>
      </c>
    </row>
    <row r="11" spans="2:16" x14ac:dyDescent="0.25">
      <c r="C11" s="24" t="s">
        <v>68</v>
      </c>
      <c r="J11" s="48" t="s">
        <v>95</v>
      </c>
      <c r="K11" s="48" t="s">
        <v>6</v>
      </c>
      <c r="L11" s="48">
        <v>3.2142857142857171</v>
      </c>
      <c r="M11" s="48">
        <v>0</v>
      </c>
      <c r="N11" s="48">
        <v>6</v>
      </c>
      <c r="O11" s="48">
        <v>10.000000000000004</v>
      </c>
      <c r="P11" s="48">
        <v>1.2000000000000004</v>
      </c>
    </row>
    <row r="12" spans="2:16" x14ac:dyDescent="0.25">
      <c r="C12" s="24" t="s">
        <v>19</v>
      </c>
    </row>
    <row r="13" spans="2:16" x14ac:dyDescent="0.25">
      <c r="I13" s="24" t="s">
        <v>27</v>
      </c>
    </row>
    <row r="14" spans="2:16" x14ac:dyDescent="0.25">
      <c r="J14" s="47"/>
      <c r="K14" s="47"/>
      <c r="L14" s="47" t="s">
        <v>51</v>
      </c>
      <c r="M14" s="47" t="s">
        <v>60</v>
      </c>
      <c r="N14" s="47" t="s">
        <v>62</v>
      </c>
      <c r="O14" s="47" t="s">
        <v>57</v>
      </c>
      <c r="P14" s="47" t="s">
        <v>57</v>
      </c>
    </row>
    <row r="15" spans="2:16" x14ac:dyDescent="0.25">
      <c r="B15" s="24" t="s">
        <v>93</v>
      </c>
      <c r="J15" s="47" t="s">
        <v>21</v>
      </c>
      <c r="K15" s="47" t="s">
        <v>22</v>
      </c>
      <c r="L15" s="47" t="s">
        <v>52</v>
      </c>
      <c r="M15" s="47" t="s">
        <v>61</v>
      </c>
      <c r="N15" s="47" t="s">
        <v>63</v>
      </c>
      <c r="O15" s="47" t="s">
        <v>58</v>
      </c>
      <c r="P15" s="47" t="s">
        <v>59</v>
      </c>
    </row>
    <row r="16" spans="2:16" x14ac:dyDescent="0.25">
      <c r="C16" s="47" t="s">
        <v>21</v>
      </c>
      <c r="D16" s="47" t="s">
        <v>22</v>
      </c>
      <c r="E16" s="47" t="s">
        <v>23</v>
      </c>
      <c r="F16" s="47" t="s">
        <v>24</v>
      </c>
      <c r="J16" s="48" t="s">
        <v>37</v>
      </c>
      <c r="K16" s="48" t="s">
        <v>108</v>
      </c>
      <c r="L16" s="48">
        <v>400</v>
      </c>
      <c r="M16" s="48">
        <v>0.14285714285714288</v>
      </c>
      <c r="N16" s="48">
        <v>400</v>
      </c>
      <c r="O16" s="48">
        <v>225.00000000000023</v>
      </c>
      <c r="P16" s="48">
        <v>160.00000000000011</v>
      </c>
    </row>
    <row r="17" spans="2:16" x14ac:dyDescent="0.25">
      <c r="C17" s="48" t="s">
        <v>32</v>
      </c>
      <c r="D17" s="48" t="s">
        <v>33</v>
      </c>
      <c r="E17" s="48">
        <v>0</v>
      </c>
      <c r="F17" s="48">
        <v>67.857142857142861</v>
      </c>
      <c r="J17" s="48" t="s">
        <v>41</v>
      </c>
      <c r="K17" s="48" t="s">
        <v>109</v>
      </c>
      <c r="L17" s="48">
        <v>250.00000000000006</v>
      </c>
      <c r="M17" s="48">
        <v>4.2857142857142871E-2</v>
      </c>
      <c r="N17" s="48">
        <v>250</v>
      </c>
      <c r="O17" s="48">
        <v>283.33333333333331</v>
      </c>
      <c r="P17" s="48">
        <v>66.666666666666742</v>
      </c>
    </row>
    <row r="18" spans="2:16" x14ac:dyDescent="0.25">
      <c r="J18" s="48" t="s">
        <v>44</v>
      </c>
      <c r="K18" s="48" t="s">
        <v>110</v>
      </c>
      <c r="L18" s="48">
        <v>357.14285714285722</v>
      </c>
      <c r="M18" s="48">
        <v>0</v>
      </c>
      <c r="N18" s="48">
        <v>300</v>
      </c>
      <c r="O18" s="48">
        <v>57.142857142857196</v>
      </c>
      <c r="P18" s="48">
        <v>1E+30</v>
      </c>
    </row>
    <row r="20" spans="2:16" x14ac:dyDescent="0.25">
      <c r="B20" s="24" t="s">
        <v>25</v>
      </c>
    </row>
    <row r="21" spans="2:16" x14ac:dyDescent="0.25">
      <c r="C21" s="47" t="s">
        <v>21</v>
      </c>
      <c r="D21" s="47" t="s">
        <v>22</v>
      </c>
      <c r="E21" s="47" t="s">
        <v>23</v>
      </c>
      <c r="F21" s="47" t="s">
        <v>24</v>
      </c>
      <c r="G21" s="47" t="s">
        <v>26</v>
      </c>
    </row>
    <row r="22" spans="2:16" x14ac:dyDescent="0.25">
      <c r="C22" s="48" t="s">
        <v>94</v>
      </c>
      <c r="D22" s="48" t="s">
        <v>5</v>
      </c>
      <c r="E22" s="49">
        <v>0</v>
      </c>
      <c r="F22" s="49">
        <v>6.0714285714285703</v>
      </c>
      <c r="G22" s="48" t="s">
        <v>35</v>
      </c>
    </row>
    <row r="23" spans="2:16" x14ac:dyDescent="0.25">
      <c r="C23" s="48" t="s">
        <v>95</v>
      </c>
      <c r="D23" s="48" t="s">
        <v>6</v>
      </c>
      <c r="E23" s="49">
        <v>0</v>
      </c>
      <c r="F23" s="49">
        <v>3.2142857142857171</v>
      </c>
      <c r="G23" s="48" t="s">
        <v>35</v>
      </c>
    </row>
    <row r="26" spans="2:16" x14ac:dyDescent="0.25">
      <c r="B26" s="24" t="s">
        <v>27</v>
      </c>
    </row>
    <row r="27" spans="2:16" x14ac:dyDescent="0.25">
      <c r="C27" s="47" t="s">
        <v>21</v>
      </c>
      <c r="D27" s="47" t="s">
        <v>22</v>
      </c>
      <c r="E27" s="47" t="s">
        <v>28</v>
      </c>
      <c r="F27" s="47" t="s">
        <v>29</v>
      </c>
      <c r="G27" s="47" t="s">
        <v>30</v>
      </c>
      <c r="H27" s="47" t="s">
        <v>31</v>
      </c>
    </row>
    <row r="28" spans="2:16" x14ac:dyDescent="0.25">
      <c r="C28" s="48" t="s">
        <v>37</v>
      </c>
      <c r="D28" s="48" t="s">
        <v>108</v>
      </c>
      <c r="E28" s="48">
        <v>400</v>
      </c>
      <c r="F28" s="48" t="s">
        <v>97</v>
      </c>
      <c r="G28" s="48" t="s">
        <v>48</v>
      </c>
      <c r="H28" s="48">
        <v>0</v>
      </c>
    </row>
    <row r="29" spans="2:16" x14ac:dyDescent="0.25">
      <c r="C29" s="48" t="s">
        <v>41</v>
      </c>
      <c r="D29" s="48" t="s">
        <v>109</v>
      </c>
      <c r="E29" s="48">
        <v>250.00000000000006</v>
      </c>
      <c r="F29" s="48" t="s">
        <v>99</v>
      </c>
      <c r="G29" s="48" t="s">
        <v>48</v>
      </c>
      <c r="H29" s="48">
        <v>0</v>
      </c>
    </row>
    <row r="30" spans="2:16" x14ac:dyDescent="0.25">
      <c r="C30" s="48" t="s">
        <v>44</v>
      </c>
      <c r="D30" s="48" t="s">
        <v>110</v>
      </c>
      <c r="E30" s="48">
        <v>357.14285714285722</v>
      </c>
      <c r="F30" s="48" t="s">
        <v>101</v>
      </c>
      <c r="G30" s="48" t="s">
        <v>40</v>
      </c>
      <c r="H30" s="48">
        <v>57.142857142857224</v>
      </c>
    </row>
    <row r="31" spans="2:16" x14ac:dyDescent="0.25">
      <c r="C31" s="48" t="s">
        <v>94</v>
      </c>
      <c r="D31" s="48" t="s">
        <v>5</v>
      </c>
      <c r="E31" s="49">
        <v>6.0714285714285703</v>
      </c>
      <c r="F31" s="48" t="s">
        <v>102</v>
      </c>
      <c r="G31" s="48" t="s">
        <v>40</v>
      </c>
      <c r="H31" s="49">
        <v>6.0714285714285703</v>
      </c>
    </row>
    <row r="32" spans="2:16" x14ac:dyDescent="0.25">
      <c r="C32" s="48" t="s">
        <v>95</v>
      </c>
      <c r="D32" s="48" t="s">
        <v>6</v>
      </c>
      <c r="E32" s="49">
        <v>3.2142857142857171</v>
      </c>
      <c r="F32" s="48" t="s">
        <v>103</v>
      </c>
      <c r="G32" s="48" t="s">
        <v>40</v>
      </c>
      <c r="H32" s="49">
        <v>3.2142857142857171</v>
      </c>
    </row>
  </sheetData>
  <pageMargins left="0.7" right="0.7" top="0.75" bottom="0.75" header="0.3" footer="0.3"/>
  <pageSetup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EF41-4CED-42DE-A475-66A4B3F3DD30}">
  <sheetPr>
    <tabColor rgb="FFFF0000"/>
    <pageSetUpPr fitToPage="1"/>
  </sheetPr>
  <dimension ref="B2:G11"/>
  <sheetViews>
    <sheetView view="pageBreakPreview" zoomScale="113" zoomScaleNormal="100" workbookViewId="0">
      <selection activeCell="E3" sqref="E3"/>
    </sheetView>
  </sheetViews>
  <sheetFormatPr defaultRowHeight="14.4" x14ac:dyDescent="0.3"/>
  <cols>
    <col min="1" max="1" width="5.109375" customWidth="1"/>
    <col min="2" max="2" width="28.21875" customWidth="1"/>
    <col min="6" max="7" width="10.33203125" customWidth="1"/>
  </cols>
  <sheetData>
    <row r="2" spans="2:7" x14ac:dyDescent="0.3">
      <c r="B2" s="36" t="s">
        <v>0</v>
      </c>
      <c r="C2" s="36" t="s">
        <v>5</v>
      </c>
      <c r="D2" s="36" t="s">
        <v>6</v>
      </c>
      <c r="E2" s="36" t="s">
        <v>7</v>
      </c>
      <c r="F2" s="37"/>
      <c r="G2" s="37"/>
    </row>
    <row r="3" spans="2:7" x14ac:dyDescent="0.3">
      <c r="B3" s="38" t="s">
        <v>1</v>
      </c>
      <c r="C3" s="38">
        <v>8</v>
      </c>
      <c r="D3" s="38">
        <v>6</v>
      </c>
      <c r="E3" s="38">
        <f>C3*$F$10+D3*$G$10</f>
        <v>67.857142857142861</v>
      </c>
      <c r="F3" s="37"/>
    </row>
    <row r="4" spans="2:7" x14ac:dyDescent="0.3">
      <c r="B4" s="38" t="s">
        <v>104</v>
      </c>
      <c r="C4" s="38">
        <v>50</v>
      </c>
      <c r="D4" s="38">
        <v>30</v>
      </c>
      <c r="E4" s="38">
        <f t="shared" ref="E4:E6" si="0">C4*$F$10+D4*$G$10</f>
        <v>400</v>
      </c>
      <c r="F4" s="38" t="s">
        <v>88</v>
      </c>
      <c r="G4" s="38">
        <v>400</v>
      </c>
    </row>
    <row r="5" spans="2:7" x14ac:dyDescent="0.3">
      <c r="B5" s="38" t="s">
        <v>105</v>
      </c>
      <c r="C5" s="38">
        <v>20</v>
      </c>
      <c r="D5" s="38">
        <v>40</v>
      </c>
      <c r="E5" s="38">
        <f t="shared" si="0"/>
        <v>250.00000000000006</v>
      </c>
      <c r="F5" s="38" t="s">
        <v>88</v>
      </c>
      <c r="G5" s="38">
        <v>250</v>
      </c>
    </row>
    <row r="6" spans="2:7" x14ac:dyDescent="0.3">
      <c r="B6" s="38" t="s">
        <v>106</v>
      </c>
      <c r="C6" s="38">
        <v>35</v>
      </c>
      <c r="D6" s="38">
        <v>45</v>
      </c>
      <c r="E6" s="38">
        <f t="shared" si="0"/>
        <v>357.14285714285722</v>
      </c>
      <c r="F6" s="38" t="s">
        <v>88</v>
      </c>
      <c r="G6" s="38">
        <v>300</v>
      </c>
    </row>
    <row r="7" spans="2:7" x14ac:dyDescent="0.3">
      <c r="B7" s="37"/>
      <c r="C7" s="37"/>
      <c r="D7" s="37"/>
      <c r="E7" s="37"/>
      <c r="F7" s="37"/>
      <c r="G7" s="37"/>
    </row>
    <row r="8" spans="2:7" x14ac:dyDescent="0.3">
      <c r="B8" s="37"/>
      <c r="C8" s="37"/>
      <c r="D8" s="37"/>
      <c r="E8" s="37"/>
      <c r="F8" s="50" t="s">
        <v>11</v>
      </c>
      <c r="G8" s="50"/>
    </row>
    <row r="9" spans="2:7" x14ac:dyDescent="0.3">
      <c r="B9" s="37"/>
      <c r="C9" s="37"/>
      <c r="D9" s="37"/>
      <c r="F9" s="38" t="s">
        <v>5</v>
      </c>
      <c r="G9" s="38" t="s">
        <v>6</v>
      </c>
    </row>
    <row r="10" spans="2:7" x14ac:dyDescent="0.3">
      <c r="B10" s="37"/>
      <c r="C10" s="37"/>
      <c r="D10" s="37"/>
      <c r="F10" s="45">
        <v>6.0714285714285703</v>
      </c>
      <c r="G10" s="45">
        <v>3.2142857142857171</v>
      </c>
    </row>
    <row r="11" spans="2:7" x14ac:dyDescent="0.3">
      <c r="B11" s="37"/>
      <c r="C11" s="37"/>
      <c r="D11" s="37"/>
    </row>
  </sheetData>
  <mergeCells count="1">
    <mergeCell ref="F8:G8"/>
  </mergeCells>
  <pageMargins left="0.25" right="0.25" top="0.75" bottom="0.75" header="0.3" footer="0.3"/>
  <pageSetup paperSize="9" fitToWidth="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6127-2D9D-402A-B87E-659CBF8BE57C}">
  <sheetPr>
    <tabColor theme="5" tint="-0.249977111117893"/>
    <pageSetUpPr fitToPage="1"/>
  </sheetPr>
  <dimension ref="A1:Q53"/>
  <sheetViews>
    <sheetView showGridLines="0" workbookViewId="0">
      <selection activeCell="J4" sqref="J4"/>
    </sheetView>
  </sheetViews>
  <sheetFormatPr defaultRowHeight="14.4" x14ac:dyDescent="0.3"/>
  <cols>
    <col min="1" max="1" width="2.33203125" customWidth="1"/>
    <col min="2" max="2" width="7.5546875" customWidth="1"/>
    <col min="3" max="3" width="16" bestFit="1" customWidth="1"/>
    <col min="4" max="4" width="12.6640625" bestFit="1" customWidth="1"/>
    <col min="5" max="5" width="12.88671875" bestFit="1" customWidth="1"/>
    <col min="6" max="6" width="7" bestFit="1" customWidth="1"/>
    <col min="7" max="7" width="5.33203125" bestFit="1" customWidth="1"/>
    <col min="9" max="9" width="14.109375" customWidth="1"/>
    <col min="10" max="10" width="2.33203125" customWidth="1"/>
    <col min="11" max="11" width="8.33203125" customWidth="1"/>
    <col min="12" max="12" width="16" bestFit="1" customWidth="1"/>
    <col min="13" max="13" width="5.77734375" bestFit="1" customWidth="1"/>
    <col min="14" max="14" width="8.33203125" bestFit="1" customWidth="1"/>
    <col min="15" max="15" width="10.109375" bestFit="1" customWidth="1"/>
    <col min="16" max="17" width="9.21875" bestFit="1" customWidth="1"/>
  </cols>
  <sheetData>
    <row r="1" spans="1:17" x14ac:dyDescent="0.3">
      <c r="A1" s="39" t="s">
        <v>12</v>
      </c>
      <c r="J1" s="39" t="s">
        <v>50</v>
      </c>
    </row>
    <row r="2" spans="1:17" x14ac:dyDescent="0.3">
      <c r="A2" s="39" t="s">
        <v>124</v>
      </c>
      <c r="C2" s="39" t="s">
        <v>365</v>
      </c>
      <c r="J2" s="39" t="s">
        <v>124</v>
      </c>
      <c r="L2" s="39" t="s">
        <v>365</v>
      </c>
    </row>
    <row r="3" spans="1:17" x14ac:dyDescent="0.3">
      <c r="A3" s="39" t="s">
        <v>360</v>
      </c>
      <c r="J3" s="39" t="s">
        <v>360</v>
      </c>
    </row>
    <row r="4" spans="1:17" x14ac:dyDescent="0.3">
      <c r="A4" s="39" t="s">
        <v>13</v>
      </c>
    </row>
    <row r="5" spans="1:17" x14ac:dyDescent="0.3">
      <c r="A5" s="39" t="s">
        <v>14</v>
      </c>
    </row>
    <row r="6" spans="1:17" ht="15" thickBot="1" x14ac:dyDescent="0.35">
      <c r="A6" s="39"/>
      <c r="B6" t="s">
        <v>15</v>
      </c>
      <c r="J6" t="s">
        <v>25</v>
      </c>
    </row>
    <row r="7" spans="1:17" x14ac:dyDescent="0.3">
      <c r="A7" s="39"/>
      <c r="B7" t="s">
        <v>198</v>
      </c>
      <c r="K7" s="43"/>
      <c r="L7" s="43"/>
      <c r="M7" s="43" t="s">
        <v>51</v>
      </c>
      <c r="N7" s="43" t="s">
        <v>53</v>
      </c>
      <c r="O7" s="43" t="s">
        <v>55</v>
      </c>
      <c r="P7" s="43" t="s">
        <v>57</v>
      </c>
      <c r="Q7" s="43" t="s">
        <v>57</v>
      </c>
    </row>
    <row r="8" spans="1:17" ht="15" thickBot="1" x14ac:dyDescent="0.35">
      <c r="A8" s="39"/>
      <c r="B8" t="s">
        <v>193</v>
      </c>
      <c r="K8" s="44" t="s">
        <v>21</v>
      </c>
      <c r="L8" s="44" t="s">
        <v>22</v>
      </c>
      <c r="M8" s="44" t="s">
        <v>52</v>
      </c>
      <c r="N8" s="44" t="s">
        <v>54</v>
      </c>
      <c r="O8" s="44" t="s">
        <v>56</v>
      </c>
      <c r="P8" s="44" t="s">
        <v>58</v>
      </c>
      <c r="Q8" s="44" t="s">
        <v>59</v>
      </c>
    </row>
    <row r="9" spans="1:17" x14ac:dyDescent="0.3">
      <c r="A9" s="39" t="s">
        <v>17</v>
      </c>
      <c r="K9" s="42" t="s">
        <v>153</v>
      </c>
      <c r="L9" s="42" t="s">
        <v>154</v>
      </c>
      <c r="M9" s="42">
        <v>0</v>
      </c>
      <c r="N9" s="42">
        <v>-8</v>
      </c>
      <c r="O9" s="42">
        <v>4</v>
      </c>
      <c r="P9" s="42">
        <v>8</v>
      </c>
      <c r="Q9" s="42">
        <v>1E+30</v>
      </c>
    </row>
    <row r="10" spans="1:17" x14ac:dyDescent="0.3">
      <c r="B10" t="s">
        <v>68</v>
      </c>
      <c r="K10" s="42" t="s">
        <v>155</v>
      </c>
      <c r="L10" s="42" t="s">
        <v>156</v>
      </c>
      <c r="M10" s="42">
        <v>0</v>
      </c>
      <c r="N10" s="42">
        <v>-3</v>
      </c>
      <c r="O10" s="42">
        <v>6</v>
      </c>
      <c r="P10" s="42">
        <v>3</v>
      </c>
      <c r="Q10" s="42">
        <v>1E+30</v>
      </c>
    </row>
    <row r="11" spans="1:17" x14ac:dyDescent="0.3">
      <c r="B11" t="s">
        <v>19</v>
      </c>
      <c r="K11" s="42" t="s">
        <v>157</v>
      </c>
      <c r="L11" s="42" t="s">
        <v>158</v>
      </c>
      <c r="M11" s="42">
        <v>15</v>
      </c>
      <c r="N11" s="42">
        <v>0</v>
      </c>
      <c r="O11" s="42">
        <v>8</v>
      </c>
      <c r="P11" s="42">
        <v>2</v>
      </c>
      <c r="Q11" s="42">
        <v>3</v>
      </c>
    </row>
    <row r="12" spans="1:17" x14ac:dyDescent="0.3">
      <c r="K12" s="42" t="s">
        <v>159</v>
      </c>
      <c r="L12" s="42" t="s">
        <v>160</v>
      </c>
      <c r="M12" s="42">
        <v>20</v>
      </c>
      <c r="N12" s="42">
        <v>0</v>
      </c>
      <c r="O12" s="42">
        <v>13</v>
      </c>
      <c r="P12" s="42">
        <v>1E+30</v>
      </c>
      <c r="Q12" s="42">
        <v>2</v>
      </c>
    </row>
    <row r="13" spans="1:17" x14ac:dyDescent="0.3">
      <c r="K13" s="42" t="s">
        <v>161</v>
      </c>
      <c r="L13" s="42" t="s">
        <v>162</v>
      </c>
      <c r="M13" s="42">
        <v>15</v>
      </c>
      <c r="N13" s="42">
        <v>0</v>
      </c>
      <c r="O13" s="42">
        <v>0</v>
      </c>
      <c r="P13" s="42">
        <v>1E+30</v>
      </c>
      <c r="Q13" s="42">
        <v>2</v>
      </c>
    </row>
    <row r="14" spans="1:17" ht="15" thickBot="1" x14ac:dyDescent="0.35">
      <c r="A14" t="s">
        <v>20</v>
      </c>
      <c r="K14" s="42" t="s">
        <v>163</v>
      </c>
      <c r="L14" s="42" t="s">
        <v>164</v>
      </c>
      <c r="M14" s="42">
        <v>0</v>
      </c>
      <c r="N14" s="42">
        <v>-1</v>
      </c>
      <c r="O14" s="42">
        <v>13</v>
      </c>
      <c r="P14" s="42">
        <v>1</v>
      </c>
      <c r="Q14" s="42">
        <v>1E+30</v>
      </c>
    </row>
    <row r="15" spans="1:17" ht="15" thickBot="1" x14ac:dyDescent="0.35">
      <c r="B15" s="41" t="s">
        <v>21</v>
      </c>
      <c r="C15" s="41" t="s">
        <v>22</v>
      </c>
      <c r="D15" s="41" t="s">
        <v>23</v>
      </c>
      <c r="E15" s="41" t="s">
        <v>24</v>
      </c>
      <c r="K15" s="42" t="s">
        <v>165</v>
      </c>
      <c r="L15" s="42" t="s">
        <v>166</v>
      </c>
      <c r="M15" s="42">
        <v>35</v>
      </c>
      <c r="N15" s="42">
        <v>0</v>
      </c>
      <c r="O15" s="42">
        <v>11</v>
      </c>
      <c r="P15" s="42">
        <v>1E+30</v>
      </c>
      <c r="Q15" s="42">
        <v>3</v>
      </c>
    </row>
    <row r="16" spans="1:17" ht="15" thickBot="1" x14ac:dyDescent="0.35">
      <c r="B16" s="40" t="s">
        <v>125</v>
      </c>
      <c r="C16" s="46" t="s">
        <v>122</v>
      </c>
      <c r="D16" s="40">
        <v>1465</v>
      </c>
      <c r="E16" s="40">
        <v>2165</v>
      </c>
      <c r="K16" s="42" t="s">
        <v>167</v>
      </c>
      <c r="L16" s="42" t="s">
        <v>168</v>
      </c>
      <c r="M16" s="42">
        <v>35</v>
      </c>
      <c r="N16" s="42">
        <v>0</v>
      </c>
      <c r="O16" s="42">
        <v>10</v>
      </c>
      <c r="P16" s="42">
        <v>3</v>
      </c>
      <c r="Q16" s="42">
        <v>1</v>
      </c>
    </row>
    <row r="17" spans="1:17" x14ac:dyDescent="0.3">
      <c r="K17" s="42" t="s">
        <v>169</v>
      </c>
      <c r="L17" s="42" t="s">
        <v>170</v>
      </c>
      <c r="M17" s="42">
        <v>0</v>
      </c>
      <c r="N17" s="42">
        <v>-7</v>
      </c>
      <c r="O17" s="42">
        <v>8</v>
      </c>
      <c r="P17" s="42">
        <v>7</v>
      </c>
      <c r="Q17" s="42">
        <v>1E+30</v>
      </c>
    </row>
    <row r="18" spans="1:17" x14ac:dyDescent="0.3">
      <c r="K18" s="42" t="s">
        <v>171</v>
      </c>
      <c r="L18" s="42" t="s">
        <v>172</v>
      </c>
      <c r="M18" s="42">
        <v>0</v>
      </c>
      <c r="N18" s="42">
        <v>-2</v>
      </c>
      <c r="O18" s="42">
        <v>0</v>
      </c>
      <c r="P18" s="42">
        <v>2</v>
      </c>
      <c r="Q18" s="42">
        <v>1E+30</v>
      </c>
    </row>
    <row r="19" spans="1:17" ht="15" thickBot="1" x14ac:dyDescent="0.35">
      <c r="A19" t="s">
        <v>25</v>
      </c>
      <c r="K19" s="42" t="s">
        <v>173</v>
      </c>
      <c r="L19" s="42" t="s">
        <v>174</v>
      </c>
      <c r="M19" s="42">
        <v>25</v>
      </c>
      <c r="N19" s="42">
        <v>0</v>
      </c>
      <c r="O19" s="42">
        <v>14</v>
      </c>
      <c r="P19" s="42">
        <v>1E+30</v>
      </c>
      <c r="Q19" s="42">
        <v>1</v>
      </c>
    </row>
    <row r="20" spans="1:17" ht="15" thickBot="1" x14ac:dyDescent="0.35">
      <c r="B20" s="41" t="s">
        <v>21</v>
      </c>
      <c r="C20" s="41" t="s">
        <v>22</v>
      </c>
      <c r="D20" s="41" t="s">
        <v>23</v>
      </c>
      <c r="E20" s="41" t="s">
        <v>24</v>
      </c>
      <c r="F20" s="41" t="s">
        <v>26</v>
      </c>
      <c r="K20" s="42" t="s">
        <v>175</v>
      </c>
      <c r="L20" s="42" t="s">
        <v>176</v>
      </c>
      <c r="M20" s="42">
        <v>0</v>
      </c>
      <c r="N20" s="42">
        <v>-7</v>
      </c>
      <c r="O20" s="42">
        <v>4</v>
      </c>
      <c r="P20" s="42">
        <v>7</v>
      </c>
      <c r="Q20" s="42">
        <v>1E+30</v>
      </c>
    </row>
    <row r="21" spans="1:17" x14ac:dyDescent="0.3">
      <c r="B21" s="42" t="s">
        <v>153</v>
      </c>
      <c r="C21" s="42" t="s">
        <v>154</v>
      </c>
      <c r="D21" s="42">
        <v>25</v>
      </c>
      <c r="E21" s="42">
        <v>0</v>
      </c>
      <c r="F21" s="42" t="s">
        <v>35</v>
      </c>
      <c r="K21" s="42" t="s">
        <v>177</v>
      </c>
      <c r="L21" s="42" t="s">
        <v>178</v>
      </c>
      <c r="M21" s="42">
        <v>5</v>
      </c>
      <c r="N21" s="42">
        <v>0</v>
      </c>
      <c r="O21" s="42">
        <v>10</v>
      </c>
      <c r="P21" s="42">
        <v>1</v>
      </c>
      <c r="Q21" s="42">
        <v>2</v>
      </c>
    </row>
    <row r="22" spans="1:17" x14ac:dyDescent="0.3">
      <c r="B22" s="42" t="s">
        <v>155</v>
      </c>
      <c r="C22" s="42" t="s">
        <v>156</v>
      </c>
      <c r="D22" s="42">
        <v>5</v>
      </c>
      <c r="E22" s="42">
        <v>0</v>
      </c>
      <c r="F22" s="42" t="s">
        <v>35</v>
      </c>
      <c r="K22" s="42" t="s">
        <v>179</v>
      </c>
      <c r="L22" s="42" t="s">
        <v>180</v>
      </c>
      <c r="M22" s="42">
        <v>0</v>
      </c>
      <c r="N22" s="42">
        <v>-2</v>
      </c>
      <c r="O22" s="42">
        <v>13</v>
      </c>
      <c r="P22" s="42">
        <v>2</v>
      </c>
      <c r="Q22" s="42">
        <v>1E+30</v>
      </c>
    </row>
    <row r="23" spans="1:17" x14ac:dyDescent="0.3">
      <c r="B23" s="42" t="s">
        <v>157</v>
      </c>
      <c r="C23" s="42" t="s">
        <v>158</v>
      </c>
      <c r="D23" s="42">
        <v>20</v>
      </c>
      <c r="E23" s="42">
        <v>15</v>
      </c>
      <c r="F23" s="42" t="s">
        <v>35</v>
      </c>
      <c r="K23" s="42" t="s">
        <v>181</v>
      </c>
      <c r="L23" s="42" t="s">
        <v>182</v>
      </c>
      <c r="M23" s="42">
        <v>0</v>
      </c>
      <c r="N23" s="42">
        <v>-2</v>
      </c>
      <c r="O23" s="42">
        <v>0</v>
      </c>
      <c r="P23" s="42">
        <v>2</v>
      </c>
      <c r="Q23" s="42">
        <v>1E+30</v>
      </c>
    </row>
    <row r="24" spans="1:17" x14ac:dyDescent="0.3">
      <c r="B24" s="42" t="s">
        <v>159</v>
      </c>
      <c r="C24" s="42" t="s">
        <v>160</v>
      </c>
      <c r="D24" s="42">
        <v>0</v>
      </c>
      <c r="E24" s="42">
        <v>20</v>
      </c>
      <c r="F24" s="42" t="s">
        <v>35</v>
      </c>
      <c r="K24" s="42" t="s">
        <v>183</v>
      </c>
      <c r="L24" s="42" t="s">
        <v>184</v>
      </c>
      <c r="M24" s="42">
        <v>0</v>
      </c>
      <c r="N24" s="42">
        <v>-8</v>
      </c>
      <c r="O24" s="42">
        <v>9</v>
      </c>
      <c r="P24" s="42">
        <v>8</v>
      </c>
      <c r="Q24" s="42">
        <v>1E+30</v>
      </c>
    </row>
    <row r="25" spans="1:17" x14ac:dyDescent="0.3">
      <c r="B25" s="42" t="s">
        <v>161</v>
      </c>
      <c r="C25" s="42" t="s">
        <v>162</v>
      </c>
      <c r="D25" s="42">
        <v>0</v>
      </c>
      <c r="E25" s="42">
        <v>15</v>
      </c>
      <c r="F25" s="42" t="s">
        <v>35</v>
      </c>
      <c r="K25" s="42" t="s">
        <v>185</v>
      </c>
      <c r="L25" s="42" t="s">
        <v>186</v>
      </c>
      <c r="M25" s="42">
        <v>0</v>
      </c>
      <c r="N25" s="42">
        <v>-3</v>
      </c>
      <c r="O25" s="42">
        <v>11</v>
      </c>
      <c r="P25" s="42">
        <v>3</v>
      </c>
      <c r="Q25" s="42">
        <v>1E+30</v>
      </c>
    </row>
    <row r="26" spans="1:17" x14ac:dyDescent="0.3">
      <c r="B26" s="42" t="s">
        <v>163</v>
      </c>
      <c r="C26" s="42" t="s">
        <v>164</v>
      </c>
      <c r="D26" s="42">
        <v>0</v>
      </c>
      <c r="E26" s="42">
        <v>0</v>
      </c>
      <c r="F26" s="42" t="s">
        <v>35</v>
      </c>
      <c r="K26" s="42" t="s">
        <v>187</v>
      </c>
      <c r="L26" s="42" t="s">
        <v>188</v>
      </c>
      <c r="M26" s="42">
        <v>50</v>
      </c>
      <c r="N26" s="42">
        <v>0</v>
      </c>
      <c r="O26" s="42">
        <v>13</v>
      </c>
      <c r="P26" s="42">
        <v>1E+30</v>
      </c>
      <c r="Q26" s="42">
        <v>3</v>
      </c>
    </row>
    <row r="27" spans="1:17" x14ac:dyDescent="0.3">
      <c r="B27" s="42" t="s">
        <v>165</v>
      </c>
      <c r="C27" s="42" t="s">
        <v>166</v>
      </c>
      <c r="D27" s="42">
        <v>0</v>
      </c>
      <c r="E27" s="42">
        <v>35</v>
      </c>
      <c r="F27" s="42" t="s">
        <v>35</v>
      </c>
      <c r="K27" s="42" t="s">
        <v>189</v>
      </c>
      <c r="L27" s="42" t="s">
        <v>190</v>
      </c>
      <c r="M27" s="42">
        <v>0</v>
      </c>
      <c r="N27" s="42">
        <v>-10</v>
      </c>
      <c r="O27" s="42">
        <v>8</v>
      </c>
      <c r="P27" s="42">
        <v>10</v>
      </c>
      <c r="Q27" s="42">
        <v>1E+30</v>
      </c>
    </row>
    <row r="28" spans="1:17" ht="15" thickBot="1" x14ac:dyDescent="0.35">
      <c r="B28" s="42" t="s">
        <v>167</v>
      </c>
      <c r="C28" s="42" t="s">
        <v>168</v>
      </c>
      <c r="D28" s="42">
        <v>70</v>
      </c>
      <c r="E28" s="42">
        <v>35</v>
      </c>
      <c r="F28" s="42" t="s">
        <v>35</v>
      </c>
      <c r="K28" s="40" t="s">
        <v>191</v>
      </c>
      <c r="L28" s="40" t="s">
        <v>192</v>
      </c>
      <c r="M28" s="40">
        <v>0</v>
      </c>
      <c r="N28" s="40">
        <v>-5</v>
      </c>
      <c r="O28" s="40">
        <v>0</v>
      </c>
      <c r="P28" s="40">
        <v>5</v>
      </c>
      <c r="Q28" s="40">
        <v>1E+30</v>
      </c>
    </row>
    <row r="29" spans="1:17" x14ac:dyDescent="0.3">
      <c r="B29" s="42" t="s">
        <v>169</v>
      </c>
      <c r="C29" s="42" t="s">
        <v>170</v>
      </c>
      <c r="D29" s="42">
        <v>0</v>
      </c>
      <c r="E29" s="42">
        <v>0</v>
      </c>
      <c r="F29" s="42" t="s">
        <v>35</v>
      </c>
    </row>
    <row r="30" spans="1:17" ht="15" thickBot="1" x14ac:dyDescent="0.35">
      <c r="B30" s="42" t="s">
        <v>171</v>
      </c>
      <c r="C30" s="42" t="s">
        <v>172</v>
      </c>
      <c r="D30" s="42">
        <v>0</v>
      </c>
      <c r="E30" s="42">
        <v>0</v>
      </c>
      <c r="F30" s="42" t="s">
        <v>35</v>
      </c>
      <c r="J30" t="s">
        <v>27</v>
      </c>
    </row>
    <row r="31" spans="1:17" x14ac:dyDescent="0.3">
      <c r="B31" s="42" t="s">
        <v>173</v>
      </c>
      <c r="C31" s="42" t="s">
        <v>174</v>
      </c>
      <c r="D31" s="42">
        <v>0</v>
      </c>
      <c r="E31" s="42">
        <v>25</v>
      </c>
      <c r="F31" s="42" t="s">
        <v>35</v>
      </c>
      <c r="K31" s="43"/>
      <c r="L31" s="43"/>
      <c r="M31" s="43" t="s">
        <v>51</v>
      </c>
      <c r="N31" s="43" t="s">
        <v>60</v>
      </c>
      <c r="O31" s="43" t="s">
        <v>62</v>
      </c>
      <c r="P31" s="43" t="s">
        <v>57</v>
      </c>
      <c r="Q31" s="43" t="s">
        <v>57</v>
      </c>
    </row>
    <row r="32" spans="1:17" ht="15" thickBot="1" x14ac:dyDescent="0.35">
      <c r="B32" s="42" t="s">
        <v>175</v>
      </c>
      <c r="C32" s="42" t="s">
        <v>176</v>
      </c>
      <c r="D32" s="42">
        <v>30</v>
      </c>
      <c r="E32" s="42">
        <v>0</v>
      </c>
      <c r="F32" s="42" t="s">
        <v>35</v>
      </c>
      <c r="K32" s="44" t="s">
        <v>21</v>
      </c>
      <c r="L32" s="44" t="s">
        <v>22</v>
      </c>
      <c r="M32" s="44" t="s">
        <v>52</v>
      </c>
      <c r="N32" s="44" t="s">
        <v>61</v>
      </c>
      <c r="O32" s="44" t="s">
        <v>63</v>
      </c>
      <c r="P32" s="44" t="s">
        <v>58</v>
      </c>
      <c r="Q32" s="44" t="s">
        <v>59</v>
      </c>
    </row>
    <row r="33" spans="1:17" x14ac:dyDescent="0.3">
      <c r="B33" s="42" t="s">
        <v>177</v>
      </c>
      <c r="C33" s="42" t="s">
        <v>178</v>
      </c>
      <c r="D33" s="42">
        <v>0</v>
      </c>
      <c r="E33" s="42">
        <v>5</v>
      </c>
      <c r="F33" s="42" t="s">
        <v>35</v>
      </c>
      <c r="K33" s="42" t="s">
        <v>126</v>
      </c>
      <c r="L33" s="42" t="s">
        <v>127</v>
      </c>
      <c r="M33" s="42">
        <v>25</v>
      </c>
      <c r="N33" s="42">
        <v>12</v>
      </c>
      <c r="O33" s="42">
        <v>25</v>
      </c>
      <c r="P33" s="42">
        <v>0</v>
      </c>
      <c r="Q33" s="42">
        <v>15</v>
      </c>
    </row>
    <row r="34" spans="1:17" x14ac:dyDescent="0.3">
      <c r="B34" s="42" t="s">
        <v>179</v>
      </c>
      <c r="C34" s="42" t="s">
        <v>180</v>
      </c>
      <c r="D34" s="42">
        <v>0</v>
      </c>
      <c r="E34" s="42">
        <v>0</v>
      </c>
      <c r="F34" s="42" t="s">
        <v>35</v>
      </c>
      <c r="K34" s="42" t="s">
        <v>128</v>
      </c>
      <c r="L34" s="42" t="s">
        <v>129</v>
      </c>
      <c r="M34" s="42">
        <v>35</v>
      </c>
      <c r="N34" s="42">
        <v>9</v>
      </c>
      <c r="O34" s="42">
        <v>35</v>
      </c>
      <c r="P34" s="42">
        <v>0</v>
      </c>
      <c r="Q34" s="42">
        <v>15</v>
      </c>
    </row>
    <row r="35" spans="1:17" x14ac:dyDescent="0.3">
      <c r="B35" s="42" t="s">
        <v>181</v>
      </c>
      <c r="C35" s="42" t="s">
        <v>182</v>
      </c>
      <c r="D35" s="42">
        <v>0</v>
      </c>
      <c r="E35" s="42">
        <v>0</v>
      </c>
      <c r="F35" s="42" t="s">
        <v>35</v>
      </c>
      <c r="K35" s="42" t="s">
        <v>130</v>
      </c>
      <c r="L35" s="42" t="s">
        <v>131</v>
      </c>
      <c r="M35" s="42">
        <v>105</v>
      </c>
      <c r="N35" s="42">
        <v>8</v>
      </c>
      <c r="O35" s="42">
        <v>105</v>
      </c>
      <c r="P35" s="42">
        <v>0</v>
      </c>
      <c r="Q35" s="42">
        <v>15</v>
      </c>
    </row>
    <row r="36" spans="1:17" x14ac:dyDescent="0.3">
      <c r="B36" s="42" t="s">
        <v>183</v>
      </c>
      <c r="C36" s="42" t="s">
        <v>184</v>
      </c>
      <c r="D36" s="42">
        <v>0</v>
      </c>
      <c r="E36" s="42">
        <v>0</v>
      </c>
      <c r="F36" s="42" t="s">
        <v>35</v>
      </c>
      <c r="K36" s="42" t="s">
        <v>132</v>
      </c>
      <c r="L36" s="42" t="s">
        <v>133</v>
      </c>
      <c r="M36" s="42">
        <v>20</v>
      </c>
      <c r="N36" s="42">
        <v>13</v>
      </c>
      <c r="O36" s="42">
        <v>20</v>
      </c>
      <c r="P36" s="42">
        <v>0</v>
      </c>
      <c r="Q36" s="42">
        <v>20</v>
      </c>
    </row>
    <row r="37" spans="1:17" x14ac:dyDescent="0.3">
      <c r="B37" s="42" t="s">
        <v>185</v>
      </c>
      <c r="C37" s="42" t="s">
        <v>186</v>
      </c>
      <c r="D37" s="42">
        <v>0</v>
      </c>
      <c r="E37" s="42">
        <v>0</v>
      </c>
      <c r="F37" s="42" t="s">
        <v>35</v>
      </c>
      <c r="K37" s="42" t="s">
        <v>134</v>
      </c>
      <c r="L37" s="42" t="s">
        <v>135</v>
      </c>
      <c r="M37" s="42">
        <v>15</v>
      </c>
      <c r="N37" s="42">
        <v>0</v>
      </c>
      <c r="O37" s="42">
        <v>15</v>
      </c>
      <c r="P37" s="42">
        <v>0</v>
      </c>
      <c r="Q37" s="42">
        <v>15</v>
      </c>
    </row>
    <row r="38" spans="1:17" x14ac:dyDescent="0.3">
      <c r="B38" s="42" t="s">
        <v>187</v>
      </c>
      <c r="C38" s="42" t="s">
        <v>188</v>
      </c>
      <c r="D38" s="42">
        <v>15</v>
      </c>
      <c r="E38" s="42">
        <v>50</v>
      </c>
      <c r="F38" s="42" t="s">
        <v>35</v>
      </c>
      <c r="K38" s="42" t="s">
        <v>136</v>
      </c>
      <c r="L38" s="42" t="s">
        <v>137</v>
      </c>
      <c r="M38" s="42">
        <v>50</v>
      </c>
      <c r="N38" s="42">
        <v>0</v>
      </c>
      <c r="O38" s="42">
        <v>50</v>
      </c>
      <c r="P38" s="42">
        <v>1E+30</v>
      </c>
      <c r="Q38" s="42">
        <v>0</v>
      </c>
    </row>
    <row r="39" spans="1:17" x14ac:dyDescent="0.3">
      <c r="B39" s="42" t="s">
        <v>189</v>
      </c>
      <c r="C39" s="42" t="s">
        <v>190</v>
      </c>
      <c r="D39" s="42">
        <v>20</v>
      </c>
      <c r="E39" s="42">
        <v>0</v>
      </c>
      <c r="F39" s="42" t="s">
        <v>35</v>
      </c>
      <c r="K39" s="42" t="s">
        <v>139</v>
      </c>
      <c r="L39" s="42" t="s">
        <v>140</v>
      </c>
      <c r="M39" s="42">
        <v>70</v>
      </c>
      <c r="N39" s="42">
        <v>2</v>
      </c>
      <c r="O39" s="42">
        <v>70</v>
      </c>
      <c r="P39" s="42">
        <v>15</v>
      </c>
      <c r="Q39" s="42">
        <v>0</v>
      </c>
    </row>
    <row r="40" spans="1:17" ht="15" thickBot="1" x14ac:dyDescent="0.35">
      <c r="B40" s="40" t="s">
        <v>191</v>
      </c>
      <c r="C40" s="40" t="s">
        <v>192</v>
      </c>
      <c r="D40" s="40">
        <v>15</v>
      </c>
      <c r="E40" s="40">
        <v>0</v>
      </c>
      <c r="F40" s="40" t="s">
        <v>35</v>
      </c>
      <c r="K40" s="42" t="s">
        <v>142</v>
      </c>
      <c r="L40" s="42" t="s">
        <v>143</v>
      </c>
      <c r="M40" s="42">
        <v>30</v>
      </c>
      <c r="N40" s="42">
        <v>2</v>
      </c>
      <c r="O40" s="42">
        <v>30</v>
      </c>
      <c r="P40" s="42">
        <v>15</v>
      </c>
      <c r="Q40" s="42">
        <v>0</v>
      </c>
    </row>
    <row r="41" spans="1:17" ht="15" thickBot="1" x14ac:dyDescent="0.35">
      <c r="K41" s="40" t="s">
        <v>145</v>
      </c>
      <c r="L41" s="40" t="s">
        <v>146</v>
      </c>
      <c r="M41" s="40">
        <v>50</v>
      </c>
      <c r="N41" s="40">
        <v>5</v>
      </c>
      <c r="O41" s="40">
        <v>50</v>
      </c>
      <c r="P41" s="40">
        <v>15</v>
      </c>
      <c r="Q41" s="40">
        <v>0</v>
      </c>
    </row>
    <row r="43" spans="1:17" ht="15" thickBot="1" x14ac:dyDescent="0.35">
      <c r="A43" t="s">
        <v>27</v>
      </c>
    </row>
    <row r="44" spans="1:17" ht="15" thickBot="1" x14ac:dyDescent="0.35">
      <c r="B44" s="41" t="s">
        <v>21</v>
      </c>
      <c r="C44" s="41" t="s">
        <v>22</v>
      </c>
      <c r="D44" s="41" t="s">
        <v>28</v>
      </c>
      <c r="E44" s="41" t="s">
        <v>29</v>
      </c>
      <c r="F44" s="41" t="s">
        <v>30</v>
      </c>
      <c r="G44" s="41" t="s">
        <v>31</v>
      </c>
    </row>
    <row r="45" spans="1:17" x14ac:dyDescent="0.3">
      <c r="B45" s="42" t="s">
        <v>126</v>
      </c>
      <c r="C45" s="42" t="s">
        <v>127</v>
      </c>
      <c r="D45" s="42">
        <v>25</v>
      </c>
      <c r="E45" s="42" t="s">
        <v>148</v>
      </c>
      <c r="F45" s="42" t="s">
        <v>48</v>
      </c>
      <c r="G45" s="42">
        <v>0</v>
      </c>
    </row>
    <row r="46" spans="1:17" x14ac:dyDescent="0.3">
      <c r="B46" s="42" t="s">
        <v>128</v>
      </c>
      <c r="C46" s="42" t="s">
        <v>129</v>
      </c>
      <c r="D46" s="42">
        <v>35</v>
      </c>
      <c r="E46" s="42" t="s">
        <v>149</v>
      </c>
      <c r="F46" s="42" t="s">
        <v>48</v>
      </c>
      <c r="G46" s="42">
        <v>0</v>
      </c>
    </row>
    <row r="47" spans="1:17" x14ac:dyDescent="0.3">
      <c r="B47" s="42" t="s">
        <v>130</v>
      </c>
      <c r="C47" s="42" t="s">
        <v>131</v>
      </c>
      <c r="D47" s="42">
        <v>105</v>
      </c>
      <c r="E47" s="42" t="s">
        <v>150</v>
      </c>
      <c r="F47" s="42" t="s">
        <v>48</v>
      </c>
      <c r="G47" s="42">
        <v>0</v>
      </c>
    </row>
    <row r="48" spans="1:17" x14ac:dyDescent="0.3">
      <c r="B48" s="42" t="s">
        <v>132</v>
      </c>
      <c r="C48" s="42" t="s">
        <v>133</v>
      </c>
      <c r="D48" s="42">
        <v>20</v>
      </c>
      <c r="E48" s="42" t="s">
        <v>151</v>
      </c>
      <c r="F48" s="42" t="s">
        <v>48</v>
      </c>
      <c r="G48" s="42">
        <v>0</v>
      </c>
    </row>
    <row r="49" spans="2:7" x14ac:dyDescent="0.3">
      <c r="B49" s="42" t="s">
        <v>134</v>
      </c>
      <c r="C49" s="42" t="s">
        <v>135</v>
      </c>
      <c r="D49" s="42">
        <v>15</v>
      </c>
      <c r="E49" s="42" t="s">
        <v>152</v>
      </c>
      <c r="F49" s="42" t="s">
        <v>48</v>
      </c>
      <c r="G49" s="42">
        <v>0</v>
      </c>
    </row>
    <row r="50" spans="2:7" x14ac:dyDescent="0.3">
      <c r="B50" s="42" t="s">
        <v>136</v>
      </c>
      <c r="C50" s="42" t="s">
        <v>137</v>
      </c>
      <c r="D50" s="42">
        <v>50</v>
      </c>
      <c r="E50" s="42" t="s">
        <v>138</v>
      </c>
      <c r="F50" s="42" t="s">
        <v>48</v>
      </c>
      <c r="G50" s="42">
        <v>0</v>
      </c>
    </row>
    <row r="51" spans="2:7" x14ac:dyDescent="0.3">
      <c r="B51" s="42" t="s">
        <v>139</v>
      </c>
      <c r="C51" s="42" t="s">
        <v>140</v>
      </c>
      <c r="D51" s="42">
        <v>70</v>
      </c>
      <c r="E51" s="42" t="s">
        <v>141</v>
      </c>
      <c r="F51" s="42" t="s">
        <v>48</v>
      </c>
      <c r="G51" s="42">
        <v>0</v>
      </c>
    </row>
    <row r="52" spans="2:7" x14ac:dyDescent="0.3">
      <c r="B52" s="42" t="s">
        <v>142</v>
      </c>
      <c r="C52" s="42" t="s">
        <v>143</v>
      </c>
      <c r="D52" s="42">
        <v>30</v>
      </c>
      <c r="E52" s="42" t="s">
        <v>144</v>
      </c>
      <c r="F52" s="42" t="s">
        <v>48</v>
      </c>
      <c r="G52" s="42">
        <v>0</v>
      </c>
    </row>
    <row r="53" spans="2:7" ht="15" thickBot="1" x14ac:dyDescent="0.35">
      <c r="B53" s="40" t="s">
        <v>145</v>
      </c>
      <c r="C53" s="40" t="s">
        <v>146</v>
      </c>
      <c r="D53" s="40">
        <v>50</v>
      </c>
      <c r="E53" s="40" t="s">
        <v>147</v>
      </c>
      <c r="F53" s="40" t="s">
        <v>48</v>
      </c>
      <c r="G53" s="40">
        <v>0</v>
      </c>
    </row>
  </sheetData>
  <pageMargins left="0.7" right="0.7" top="0.75" bottom="0.75" header="0.3" footer="0.3"/>
  <pageSetup scale="6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5F5D-1FBC-41A5-BA35-4F1DEE6DA062}">
  <sheetPr>
    <tabColor theme="5" tint="-0.249977111117893"/>
    <pageSetUpPr fitToPage="1"/>
  </sheetPr>
  <dimension ref="A1:R53"/>
  <sheetViews>
    <sheetView showGridLines="0" workbookViewId="0">
      <selection activeCell="J47" sqref="J47"/>
    </sheetView>
  </sheetViews>
  <sheetFormatPr defaultRowHeight="14.4" x14ac:dyDescent="0.3"/>
  <cols>
    <col min="1" max="1" width="2.33203125" customWidth="1"/>
    <col min="2" max="2" width="6.21875" bestFit="1" customWidth="1"/>
    <col min="3" max="3" width="16" bestFit="1" customWidth="1"/>
    <col min="4" max="4" width="12.6640625" bestFit="1" customWidth="1"/>
    <col min="5" max="5" width="12.88671875" bestFit="1" customWidth="1"/>
    <col min="6" max="6" width="7" bestFit="1" customWidth="1"/>
    <col min="7" max="7" width="5.33203125" bestFit="1" customWidth="1"/>
  </cols>
  <sheetData>
    <row r="1" spans="1:18" x14ac:dyDescent="0.3">
      <c r="A1" s="39" t="s">
        <v>12</v>
      </c>
      <c r="K1" s="39" t="s">
        <v>50</v>
      </c>
    </row>
    <row r="2" spans="1:18" x14ac:dyDescent="0.3">
      <c r="A2" s="39" t="s">
        <v>371</v>
      </c>
      <c r="K2" s="39" t="s">
        <v>371</v>
      </c>
    </row>
    <row r="3" spans="1:18" x14ac:dyDescent="0.3">
      <c r="A3" s="39" t="s">
        <v>372</v>
      </c>
      <c r="K3" s="39" t="s">
        <v>375</v>
      </c>
    </row>
    <row r="4" spans="1:18" x14ac:dyDescent="0.3">
      <c r="A4" s="39" t="s">
        <v>13</v>
      </c>
    </row>
    <row r="5" spans="1:18" x14ac:dyDescent="0.3">
      <c r="A5" s="39" t="s">
        <v>14</v>
      </c>
    </row>
    <row r="6" spans="1:18" ht="15" thickBot="1" x14ac:dyDescent="0.35">
      <c r="A6" s="39"/>
      <c r="B6" t="s">
        <v>15</v>
      </c>
      <c r="K6" t="s">
        <v>25</v>
      </c>
    </row>
    <row r="7" spans="1:18" x14ac:dyDescent="0.3">
      <c r="A7" s="39"/>
      <c r="B7" t="s">
        <v>373</v>
      </c>
      <c r="L7" s="64"/>
      <c r="M7" s="64"/>
      <c r="N7" s="64" t="s">
        <v>51</v>
      </c>
      <c r="O7" s="64" t="s">
        <v>53</v>
      </c>
      <c r="P7" s="64" t="s">
        <v>55</v>
      </c>
      <c r="Q7" s="64" t="s">
        <v>57</v>
      </c>
      <c r="R7" s="64" t="s">
        <v>57</v>
      </c>
    </row>
    <row r="8" spans="1:18" ht="15" thickBot="1" x14ac:dyDescent="0.35">
      <c r="A8" s="39"/>
      <c r="B8" t="s">
        <v>374</v>
      </c>
      <c r="L8" s="65" t="s">
        <v>21</v>
      </c>
      <c r="M8" s="65" t="s">
        <v>22</v>
      </c>
      <c r="N8" s="65" t="s">
        <v>52</v>
      </c>
      <c r="O8" s="65" t="s">
        <v>54</v>
      </c>
      <c r="P8" s="65" t="s">
        <v>56</v>
      </c>
      <c r="Q8" s="65" t="s">
        <v>58</v>
      </c>
      <c r="R8" s="65" t="s">
        <v>59</v>
      </c>
    </row>
    <row r="9" spans="1:18" x14ac:dyDescent="0.3">
      <c r="A9" s="39" t="s">
        <v>17</v>
      </c>
      <c r="L9" s="60" t="s">
        <v>153</v>
      </c>
      <c r="M9" s="60" t="s">
        <v>154</v>
      </c>
      <c r="N9" s="60">
        <v>25</v>
      </c>
      <c r="O9" s="60">
        <v>0</v>
      </c>
      <c r="P9" s="60">
        <v>4</v>
      </c>
      <c r="Q9" s="60">
        <v>0</v>
      </c>
      <c r="R9" s="60">
        <v>1E+30</v>
      </c>
    </row>
    <row r="10" spans="1:18" x14ac:dyDescent="0.3">
      <c r="B10" t="s">
        <v>68</v>
      </c>
      <c r="L10" s="60" t="s">
        <v>155</v>
      </c>
      <c r="M10" s="60" t="s">
        <v>156</v>
      </c>
      <c r="N10" s="60">
        <v>0</v>
      </c>
      <c r="O10" s="60">
        <v>0</v>
      </c>
      <c r="P10" s="60">
        <v>6</v>
      </c>
      <c r="Q10" s="60">
        <v>1E+30</v>
      </c>
      <c r="R10" s="60">
        <v>0</v>
      </c>
    </row>
    <row r="11" spans="1:18" x14ac:dyDescent="0.3">
      <c r="B11" t="s">
        <v>19</v>
      </c>
      <c r="L11" s="60" t="s">
        <v>157</v>
      </c>
      <c r="M11" s="60" t="s">
        <v>158</v>
      </c>
      <c r="N11" s="60">
        <v>25</v>
      </c>
      <c r="O11" s="60">
        <v>0</v>
      </c>
      <c r="P11" s="60">
        <v>8</v>
      </c>
      <c r="Q11" s="60">
        <v>0</v>
      </c>
      <c r="R11" s="60">
        <v>0</v>
      </c>
    </row>
    <row r="12" spans="1:18" x14ac:dyDescent="0.3">
      <c r="L12" s="60" t="s">
        <v>159</v>
      </c>
      <c r="M12" s="60" t="s">
        <v>160</v>
      </c>
      <c r="N12" s="60">
        <v>0</v>
      </c>
      <c r="O12" s="60">
        <v>10</v>
      </c>
      <c r="P12" s="60">
        <v>13</v>
      </c>
      <c r="Q12" s="60">
        <v>1E+30</v>
      </c>
      <c r="R12" s="60">
        <v>10</v>
      </c>
    </row>
    <row r="13" spans="1:18" x14ac:dyDescent="0.3">
      <c r="L13" s="60" t="s">
        <v>161</v>
      </c>
      <c r="M13" s="60" t="s">
        <v>162</v>
      </c>
      <c r="N13" s="60">
        <v>0</v>
      </c>
      <c r="O13" s="60">
        <v>5</v>
      </c>
      <c r="P13" s="60">
        <v>0</v>
      </c>
      <c r="Q13" s="60">
        <v>1E+30</v>
      </c>
      <c r="R13" s="60">
        <v>5</v>
      </c>
    </row>
    <row r="14" spans="1:18" ht="15" thickBot="1" x14ac:dyDescent="0.35">
      <c r="A14" t="s">
        <v>93</v>
      </c>
      <c r="L14" s="60" t="s">
        <v>163</v>
      </c>
      <c r="M14" s="60" t="s">
        <v>164</v>
      </c>
      <c r="N14" s="60">
        <v>0</v>
      </c>
      <c r="O14" s="60">
        <v>7</v>
      </c>
      <c r="P14" s="60">
        <v>13</v>
      </c>
      <c r="Q14" s="60">
        <v>1E+30</v>
      </c>
      <c r="R14" s="60">
        <v>7</v>
      </c>
    </row>
    <row r="15" spans="1:18" ht="15" thickBot="1" x14ac:dyDescent="0.35">
      <c r="B15" s="59" t="s">
        <v>21</v>
      </c>
      <c r="C15" s="59" t="s">
        <v>22</v>
      </c>
      <c r="D15" s="59" t="s">
        <v>23</v>
      </c>
      <c r="E15" s="59" t="s">
        <v>24</v>
      </c>
      <c r="L15" s="60" t="s">
        <v>165</v>
      </c>
      <c r="M15" s="60" t="s">
        <v>166</v>
      </c>
      <c r="N15" s="60">
        <v>0</v>
      </c>
      <c r="O15" s="60">
        <v>3</v>
      </c>
      <c r="P15" s="60">
        <v>11</v>
      </c>
      <c r="Q15" s="60">
        <v>1E+30</v>
      </c>
      <c r="R15" s="60">
        <v>3</v>
      </c>
    </row>
    <row r="16" spans="1:18" ht="15" thickBot="1" x14ac:dyDescent="0.35">
      <c r="B16" s="58" t="s">
        <v>125</v>
      </c>
      <c r="C16" s="61" t="s">
        <v>122</v>
      </c>
      <c r="D16" s="62">
        <v>2165</v>
      </c>
      <c r="E16" s="62">
        <v>1465</v>
      </c>
      <c r="L16" s="60" t="s">
        <v>167</v>
      </c>
      <c r="M16" s="60" t="s">
        <v>168</v>
      </c>
      <c r="N16" s="60">
        <v>70</v>
      </c>
      <c r="O16" s="60">
        <v>0</v>
      </c>
      <c r="P16" s="60">
        <v>10</v>
      </c>
      <c r="Q16" s="60">
        <v>3</v>
      </c>
      <c r="R16" s="60">
        <v>1E+30</v>
      </c>
    </row>
    <row r="17" spans="1:18" x14ac:dyDescent="0.3">
      <c r="L17" s="60" t="s">
        <v>169</v>
      </c>
      <c r="M17" s="60" t="s">
        <v>170</v>
      </c>
      <c r="N17" s="60">
        <v>0</v>
      </c>
      <c r="O17" s="60">
        <v>3</v>
      </c>
      <c r="P17" s="60">
        <v>8</v>
      </c>
      <c r="Q17" s="60">
        <v>1E+30</v>
      </c>
      <c r="R17" s="60">
        <v>3</v>
      </c>
    </row>
    <row r="18" spans="1:18" x14ac:dyDescent="0.3">
      <c r="L18" s="60" t="s">
        <v>171</v>
      </c>
      <c r="M18" s="60" t="s">
        <v>172</v>
      </c>
      <c r="N18" s="60">
        <v>0</v>
      </c>
      <c r="O18" s="60">
        <v>3</v>
      </c>
      <c r="P18" s="60">
        <v>0</v>
      </c>
      <c r="Q18" s="60">
        <v>1E+30</v>
      </c>
      <c r="R18" s="60">
        <v>3</v>
      </c>
    </row>
    <row r="19" spans="1:18" ht="15" thickBot="1" x14ac:dyDescent="0.35">
      <c r="A19" t="s">
        <v>25</v>
      </c>
      <c r="L19" s="60" t="s">
        <v>173</v>
      </c>
      <c r="M19" s="60" t="s">
        <v>174</v>
      </c>
      <c r="N19" s="60">
        <v>0</v>
      </c>
      <c r="O19" s="60">
        <v>12</v>
      </c>
      <c r="P19" s="60">
        <v>14</v>
      </c>
      <c r="Q19" s="60">
        <v>1E+30</v>
      </c>
      <c r="R19" s="60">
        <v>12</v>
      </c>
    </row>
    <row r="20" spans="1:18" ht="15" thickBot="1" x14ac:dyDescent="0.35">
      <c r="B20" s="59" t="s">
        <v>21</v>
      </c>
      <c r="C20" s="59" t="s">
        <v>22</v>
      </c>
      <c r="D20" s="59" t="s">
        <v>23</v>
      </c>
      <c r="E20" s="59" t="s">
        <v>24</v>
      </c>
      <c r="F20" s="59" t="s">
        <v>26</v>
      </c>
      <c r="L20" s="60" t="s">
        <v>175</v>
      </c>
      <c r="M20" s="60" t="s">
        <v>176</v>
      </c>
      <c r="N20" s="60">
        <v>30</v>
      </c>
      <c r="O20" s="60">
        <v>0</v>
      </c>
      <c r="P20" s="60">
        <v>4</v>
      </c>
      <c r="Q20" s="60">
        <v>4</v>
      </c>
      <c r="R20" s="60">
        <v>1E+30</v>
      </c>
    </row>
    <row r="21" spans="1:18" x14ac:dyDescent="0.3">
      <c r="B21" s="60" t="s">
        <v>153</v>
      </c>
      <c r="C21" s="60" t="s">
        <v>154</v>
      </c>
      <c r="D21" s="63">
        <v>0</v>
      </c>
      <c r="E21" s="63">
        <v>25</v>
      </c>
      <c r="F21" s="60" t="s">
        <v>35</v>
      </c>
      <c r="L21" s="60" t="s">
        <v>177</v>
      </c>
      <c r="M21" s="60" t="s">
        <v>178</v>
      </c>
      <c r="N21" s="60">
        <v>0</v>
      </c>
      <c r="O21" s="60">
        <v>4</v>
      </c>
      <c r="P21" s="60">
        <v>10</v>
      </c>
      <c r="Q21" s="60">
        <v>1E+30</v>
      </c>
      <c r="R21" s="60">
        <v>4</v>
      </c>
    </row>
    <row r="22" spans="1:18" x14ac:dyDescent="0.3">
      <c r="B22" s="60" t="s">
        <v>155</v>
      </c>
      <c r="C22" s="60" t="s">
        <v>156</v>
      </c>
      <c r="D22" s="63">
        <v>0</v>
      </c>
      <c r="E22" s="63">
        <v>0</v>
      </c>
      <c r="F22" s="60" t="s">
        <v>35</v>
      </c>
      <c r="L22" s="60" t="s">
        <v>179</v>
      </c>
      <c r="M22" s="60" t="s">
        <v>180</v>
      </c>
      <c r="N22" s="60">
        <v>0</v>
      </c>
      <c r="O22" s="60">
        <v>12</v>
      </c>
      <c r="P22" s="60">
        <v>13</v>
      </c>
      <c r="Q22" s="60">
        <v>1E+30</v>
      </c>
      <c r="R22" s="60">
        <v>12</v>
      </c>
    </row>
    <row r="23" spans="1:18" x14ac:dyDescent="0.3">
      <c r="B23" s="60" t="s">
        <v>157</v>
      </c>
      <c r="C23" s="60" t="s">
        <v>158</v>
      </c>
      <c r="D23" s="63">
        <v>15</v>
      </c>
      <c r="E23" s="63">
        <v>25</v>
      </c>
      <c r="F23" s="60" t="s">
        <v>35</v>
      </c>
      <c r="L23" s="60" t="s">
        <v>181</v>
      </c>
      <c r="M23" s="60" t="s">
        <v>182</v>
      </c>
      <c r="N23" s="60">
        <v>0</v>
      </c>
      <c r="O23" s="60">
        <v>7</v>
      </c>
      <c r="P23" s="60">
        <v>0</v>
      </c>
      <c r="Q23" s="60">
        <v>1E+30</v>
      </c>
      <c r="R23" s="60">
        <v>7</v>
      </c>
    </row>
    <row r="24" spans="1:18" x14ac:dyDescent="0.3">
      <c r="B24" s="60" t="s">
        <v>159</v>
      </c>
      <c r="C24" s="60" t="s">
        <v>160</v>
      </c>
      <c r="D24" s="63">
        <v>20</v>
      </c>
      <c r="E24" s="63">
        <v>0</v>
      </c>
      <c r="F24" s="60" t="s">
        <v>35</v>
      </c>
      <c r="L24" s="60" t="s">
        <v>183</v>
      </c>
      <c r="M24" s="60" t="s">
        <v>184</v>
      </c>
      <c r="N24" s="60">
        <v>0</v>
      </c>
      <c r="O24" s="60">
        <v>0</v>
      </c>
      <c r="P24" s="60">
        <v>9</v>
      </c>
      <c r="Q24" s="60">
        <v>1E+30</v>
      </c>
      <c r="R24" s="60">
        <v>0</v>
      </c>
    </row>
    <row r="25" spans="1:18" x14ac:dyDescent="0.3">
      <c r="B25" s="60" t="s">
        <v>161</v>
      </c>
      <c r="C25" s="60" t="s">
        <v>162</v>
      </c>
      <c r="D25" s="63">
        <v>15</v>
      </c>
      <c r="E25" s="63">
        <v>0</v>
      </c>
      <c r="F25" s="60" t="s">
        <v>35</v>
      </c>
      <c r="L25" s="60" t="s">
        <v>185</v>
      </c>
      <c r="M25" s="60" t="s">
        <v>186</v>
      </c>
      <c r="N25" s="60">
        <v>5</v>
      </c>
      <c r="O25" s="60">
        <v>0</v>
      </c>
      <c r="P25" s="60">
        <v>11</v>
      </c>
      <c r="Q25" s="60">
        <v>0</v>
      </c>
      <c r="R25" s="60">
        <v>4</v>
      </c>
    </row>
    <row r="26" spans="1:18" x14ac:dyDescent="0.3">
      <c r="B26" s="60" t="s">
        <v>163</v>
      </c>
      <c r="C26" s="60" t="s">
        <v>164</v>
      </c>
      <c r="D26" s="63">
        <v>0</v>
      </c>
      <c r="E26" s="63">
        <v>0</v>
      </c>
      <c r="F26" s="60" t="s">
        <v>35</v>
      </c>
      <c r="L26" s="60" t="s">
        <v>187</v>
      </c>
      <c r="M26" s="60" t="s">
        <v>188</v>
      </c>
      <c r="N26" s="60">
        <v>10</v>
      </c>
      <c r="O26" s="60">
        <v>0</v>
      </c>
      <c r="P26" s="60">
        <v>13</v>
      </c>
      <c r="Q26" s="60">
        <v>0</v>
      </c>
      <c r="R26" s="60">
        <v>0</v>
      </c>
    </row>
    <row r="27" spans="1:18" x14ac:dyDescent="0.3">
      <c r="B27" s="60" t="s">
        <v>165</v>
      </c>
      <c r="C27" s="60" t="s">
        <v>166</v>
      </c>
      <c r="D27" s="63">
        <v>35</v>
      </c>
      <c r="E27" s="63">
        <v>0</v>
      </c>
      <c r="F27" s="60" t="s">
        <v>35</v>
      </c>
      <c r="L27" s="60" t="s">
        <v>189</v>
      </c>
      <c r="M27" s="60" t="s">
        <v>190</v>
      </c>
      <c r="N27" s="60">
        <v>20</v>
      </c>
      <c r="O27" s="60">
        <v>0</v>
      </c>
      <c r="P27" s="60">
        <v>8</v>
      </c>
      <c r="Q27" s="60">
        <v>3</v>
      </c>
      <c r="R27" s="60">
        <v>1E+30</v>
      </c>
    </row>
    <row r="28" spans="1:18" ht="15" thickBot="1" x14ac:dyDescent="0.35">
      <c r="B28" s="60" t="s">
        <v>167</v>
      </c>
      <c r="C28" s="60" t="s">
        <v>168</v>
      </c>
      <c r="D28" s="63">
        <v>35</v>
      </c>
      <c r="E28" s="63">
        <v>70</v>
      </c>
      <c r="F28" s="60" t="s">
        <v>35</v>
      </c>
      <c r="L28" s="58" t="s">
        <v>191</v>
      </c>
      <c r="M28" s="58" t="s">
        <v>192</v>
      </c>
      <c r="N28" s="58">
        <v>15</v>
      </c>
      <c r="O28" s="58">
        <v>0</v>
      </c>
      <c r="P28" s="58">
        <v>0</v>
      </c>
      <c r="Q28" s="58">
        <v>3</v>
      </c>
      <c r="R28" s="58">
        <v>1E+30</v>
      </c>
    </row>
    <row r="29" spans="1:18" x14ac:dyDescent="0.3">
      <c r="B29" s="60" t="s">
        <v>169</v>
      </c>
      <c r="C29" s="60" t="s">
        <v>170</v>
      </c>
      <c r="D29" s="63">
        <v>0</v>
      </c>
      <c r="E29" s="63">
        <v>0</v>
      </c>
      <c r="F29" s="60" t="s">
        <v>35</v>
      </c>
    </row>
    <row r="30" spans="1:18" ht="15" thickBot="1" x14ac:dyDescent="0.35">
      <c r="B30" s="60" t="s">
        <v>171</v>
      </c>
      <c r="C30" s="60" t="s">
        <v>172</v>
      </c>
      <c r="D30" s="63">
        <v>0</v>
      </c>
      <c r="E30" s="63">
        <v>0</v>
      </c>
      <c r="F30" s="60" t="s">
        <v>35</v>
      </c>
      <c r="K30" t="s">
        <v>27</v>
      </c>
    </row>
    <row r="31" spans="1:18" x14ac:dyDescent="0.3">
      <c r="B31" s="60" t="s">
        <v>173</v>
      </c>
      <c r="C31" s="60" t="s">
        <v>174</v>
      </c>
      <c r="D31" s="63">
        <v>25</v>
      </c>
      <c r="E31" s="63">
        <v>0</v>
      </c>
      <c r="F31" s="60" t="s">
        <v>35</v>
      </c>
      <c r="L31" s="64"/>
      <c r="M31" s="64"/>
      <c r="N31" s="64" t="s">
        <v>51</v>
      </c>
      <c r="O31" s="64" t="s">
        <v>60</v>
      </c>
      <c r="P31" s="64" t="s">
        <v>62</v>
      </c>
      <c r="Q31" s="64" t="s">
        <v>57</v>
      </c>
      <c r="R31" s="64" t="s">
        <v>57</v>
      </c>
    </row>
    <row r="32" spans="1:18" ht="15" thickBot="1" x14ac:dyDescent="0.35">
      <c r="B32" s="60" t="s">
        <v>175</v>
      </c>
      <c r="C32" s="60" t="s">
        <v>176</v>
      </c>
      <c r="D32" s="63">
        <v>0</v>
      </c>
      <c r="E32" s="63">
        <v>30</v>
      </c>
      <c r="F32" s="60" t="s">
        <v>35</v>
      </c>
      <c r="L32" s="65" t="s">
        <v>21</v>
      </c>
      <c r="M32" s="65" t="s">
        <v>22</v>
      </c>
      <c r="N32" s="65" t="s">
        <v>52</v>
      </c>
      <c r="O32" s="65" t="s">
        <v>61</v>
      </c>
      <c r="P32" s="65" t="s">
        <v>63</v>
      </c>
      <c r="Q32" s="65" t="s">
        <v>58</v>
      </c>
      <c r="R32" s="65" t="s">
        <v>59</v>
      </c>
    </row>
    <row r="33" spans="1:18" x14ac:dyDescent="0.3">
      <c r="B33" s="60" t="s">
        <v>177</v>
      </c>
      <c r="C33" s="60" t="s">
        <v>178</v>
      </c>
      <c r="D33" s="63">
        <v>5</v>
      </c>
      <c r="E33" s="63">
        <v>0</v>
      </c>
      <c r="F33" s="60" t="s">
        <v>35</v>
      </c>
      <c r="L33" s="60" t="s">
        <v>126</v>
      </c>
      <c r="M33" s="60" t="s">
        <v>127</v>
      </c>
      <c r="N33" s="60">
        <v>25</v>
      </c>
      <c r="O33" s="60">
        <v>9</v>
      </c>
      <c r="P33" s="60">
        <v>25</v>
      </c>
      <c r="Q33" s="60">
        <v>0</v>
      </c>
      <c r="R33" s="60">
        <v>10</v>
      </c>
    </row>
    <row r="34" spans="1:18" x14ac:dyDescent="0.3">
      <c r="B34" s="60" t="s">
        <v>179</v>
      </c>
      <c r="C34" s="60" t="s">
        <v>180</v>
      </c>
      <c r="D34" s="63">
        <v>0</v>
      </c>
      <c r="E34" s="63">
        <v>0</v>
      </c>
      <c r="F34" s="60" t="s">
        <v>35</v>
      </c>
      <c r="L34" s="60" t="s">
        <v>128</v>
      </c>
      <c r="M34" s="60" t="s">
        <v>129</v>
      </c>
      <c r="N34" s="60">
        <v>35</v>
      </c>
      <c r="O34" s="60">
        <v>11</v>
      </c>
      <c r="P34" s="60">
        <v>35</v>
      </c>
      <c r="Q34" s="60">
        <v>0</v>
      </c>
      <c r="R34" s="60">
        <v>5</v>
      </c>
    </row>
    <row r="35" spans="1:18" x14ac:dyDescent="0.3">
      <c r="B35" s="60" t="s">
        <v>181</v>
      </c>
      <c r="C35" s="60" t="s">
        <v>182</v>
      </c>
      <c r="D35" s="63">
        <v>0</v>
      </c>
      <c r="E35" s="63">
        <v>0</v>
      </c>
      <c r="F35" s="60" t="s">
        <v>35</v>
      </c>
      <c r="L35" s="60" t="s">
        <v>130</v>
      </c>
      <c r="M35" s="60" t="s">
        <v>131</v>
      </c>
      <c r="N35" s="60">
        <v>105</v>
      </c>
      <c r="O35" s="60">
        <v>13</v>
      </c>
      <c r="P35" s="60">
        <v>105</v>
      </c>
      <c r="Q35" s="60">
        <v>0</v>
      </c>
      <c r="R35" s="60">
        <v>10</v>
      </c>
    </row>
    <row r="36" spans="1:18" x14ac:dyDescent="0.3">
      <c r="B36" s="60" t="s">
        <v>183</v>
      </c>
      <c r="C36" s="60" t="s">
        <v>184</v>
      </c>
      <c r="D36" s="63">
        <v>0</v>
      </c>
      <c r="E36" s="63">
        <v>0</v>
      </c>
      <c r="F36" s="60" t="s">
        <v>35</v>
      </c>
      <c r="L36" s="60" t="s">
        <v>132</v>
      </c>
      <c r="M36" s="60" t="s">
        <v>133</v>
      </c>
      <c r="N36" s="60">
        <v>20</v>
      </c>
      <c r="O36" s="60">
        <v>8</v>
      </c>
      <c r="P36" s="60">
        <v>20</v>
      </c>
      <c r="Q36" s="60">
        <v>0</v>
      </c>
      <c r="R36" s="60">
        <v>20</v>
      </c>
    </row>
    <row r="37" spans="1:18" x14ac:dyDescent="0.3">
      <c r="B37" s="60" t="s">
        <v>185</v>
      </c>
      <c r="C37" s="60" t="s">
        <v>186</v>
      </c>
      <c r="D37" s="63">
        <v>0</v>
      </c>
      <c r="E37" s="63">
        <v>5</v>
      </c>
      <c r="F37" s="60" t="s">
        <v>35</v>
      </c>
      <c r="L37" s="60" t="s">
        <v>134</v>
      </c>
      <c r="M37" s="60" t="s">
        <v>135</v>
      </c>
      <c r="N37" s="60">
        <v>15</v>
      </c>
      <c r="O37" s="60">
        <v>0</v>
      </c>
      <c r="P37" s="60">
        <v>15</v>
      </c>
      <c r="Q37" s="60">
        <v>0</v>
      </c>
      <c r="R37" s="60">
        <v>15</v>
      </c>
    </row>
    <row r="38" spans="1:18" x14ac:dyDescent="0.3">
      <c r="B38" s="60" t="s">
        <v>187</v>
      </c>
      <c r="C38" s="60" t="s">
        <v>188</v>
      </c>
      <c r="D38" s="63">
        <v>50</v>
      </c>
      <c r="E38" s="63">
        <v>10</v>
      </c>
      <c r="F38" s="60" t="s">
        <v>35</v>
      </c>
      <c r="L38" s="60" t="s">
        <v>136</v>
      </c>
      <c r="M38" s="60" t="s">
        <v>137</v>
      </c>
      <c r="N38" s="60">
        <v>50</v>
      </c>
      <c r="O38" s="60">
        <v>-5</v>
      </c>
      <c r="P38" s="60">
        <v>50</v>
      </c>
      <c r="Q38" s="60">
        <v>10</v>
      </c>
      <c r="R38" s="60">
        <v>0</v>
      </c>
    </row>
    <row r="39" spans="1:18" x14ac:dyDescent="0.3">
      <c r="B39" s="60" t="s">
        <v>189</v>
      </c>
      <c r="C39" s="60" t="s">
        <v>190</v>
      </c>
      <c r="D39" s="63">
        <v>0</v>
      </c>
      <c r="E39" s="63">
        <v>20</v>
      </c>
      <c r="F39" s="60" t="s">
        <v>35</v>
      </c>
      <c r="L39" s="60" t="s">
        <v>139</v>
      </c>
      <c r="M39" s="60" t="s">
        <v>140</v>
      </c>
      <c r="N39" s="60">
        <v>70</v>
      </c>
      <c r="O39" s="60">
        <v>-3</v>
      </c>
      <c r="P39" s="60">
        <v>70</v>
      </c>
      <c r="Q39" s="60">
        <v>10</v>
      </c>
      <c r="R39" s="60">
        <v>0</v>
      </c>
    </row>
    <row r="40" spans="1:18" ht="15" thickBot="1" x14ac:dyDescent="0.35">
      <c r="B40" s="58" t="s">
        <v>191</v>
      </c>
      <c r="C40" s="58" t="s">
        <v>192</v>
      </c>
      <c r="D40" s="62">
        <v>0</v>
      </c>
      <c r="E40" s="62">
        <v>15</v>
      </c>
      <c r="F40" s="58" t="s">
        <v>35</v>
      </c>
      <c r="L40" s="60" t="s">
        <v>142</v>
      </c>
      <c r="M40" s="60" t="s">
        <v>143</v>
      </c>
      <c r="N40" s="60">
        <v>30</v>
      </c>
      <c r="O40" s="60">
        <v>-7</v>
      </c>
      <c r="P40" s="60">
        <v>30</v>
      </c>
      <c r="Q40" s="60">
        <v>5</v>
      </c>
      <c r="R40" s="60">
        <v>0</v>
      </c>
    </row>
    <row r="41" spans="1:18" ht="15" thickBot="1" x14ac:dyDescent="0.35">
      <c r="L41" s="58" t="s">
        <v>145</v>
      </c>
      <c r="M41" s="58" t="s">
        <v>146</v>
      </c>
      <c r="N41" s="58">
        <v>50</v>
      </c>
      <c r="O41" s="58">
        <v>0</v>
      </c>
      <c r="P41" s="58">
        <v>50</v>
      </c>
      <c r="Q41" s="58">
        <v>1E+30</v>
      </c>
      <c r="R41" s="58">
        <v>0</v>
      </c>
    </row>
    <row r="43" spans="1:18" ht="15" thickBot="1" x14ac:dyDescent="0.35">
      <c r="A43" t="s">
        <v>27</v>
      </c>
    </row>
    <row r="44" spans="1:18" ht="15" thickBot="1" x14ac:dyDescent="0.35">
      <c r="B44" s="59" t="s">
        <v>21</v>
      </c>
      <c r="C44" s="59" t="s">
        <v>22</v>
      </c>
      <c r="D44" s="59" t="s">
        <v>28</v>
      </c>
      <c r="E44" s="59" t="s">
        <v>29</v>
      </c>
      <c r="F44" s="59" t="s">
        <v>30</v>
      </c>
      <c r="G44" s="59" t="s">
        <v>31</v>
      </c>
    </row>
    <row r="45" spans="1:18" x14ac:dyDescent="0.3">
      <c r="B45" s="60" t="s">
        <v>126</v>
      </c>
      <c r="C45" s="60" t="s">
        <v>127</v>
      </c>
      <c r="D45" s="63">
        <v>25</v>
      </c>
      <c r="E45" s="60" t="s">
        <v>148</v>
      </c>
      <c r="F45" s="60" t="s">
        <v>48</v>
      </c>
      <c r="G45" s="60">
        <v>0</v>
      </c>
    </row>
    <row r="46" spans="1:18" x14ac:dyDescent="0.3">
      <c r="B46" s="60" t="s">
        <v>128</v>
      </c>
      <c r="C46" s="60" t="s">
        <v>129</v>
      </c>
      <c r="D46" s="63">
        <v>35</v>
      </c>
      <c r="E46" s="60" t="s">
        <v>149</v>
      </c>
      <c r="F46" s="60" t="s">
        <v>48</v>
      </c>
      <c r="G46" s="60">
        <v>0</v>
      </c>
    </row>
    <row r="47" spans="1:18" x14ac:dyDescent="0.3">
      <c r="B47" s="60" t="s">
        <v>130</v>
      </c>
      <c r="C47" s="60" t="s">
        <v>131</v>
      </c>
      <c r="D47" s="63">
        <v>105</v>
      </c>
      <c r="E47" s="60" t="s">
        <v>150</v>
      </c>
      <c r="F47" s="60" t="s">
        <v>48</v>
      </c>
      <c r="G47" s="60">
        <v>0</v>
      </c>
    </row>
    <row r="48" spans="1:18" x14ac:dyDescent="0.3">
      <c r="B48" s="60" t="s">
        <v>132</v>
      </c>
      <c r="C48" s="60" t="s">
        <v>133</v>
      </c>
      <c r="D48" s="63">
        <v>20</v>
      </c>
      <c r="E48" s="60" t="s">
        <v>151</v>
      </c>
      <c r="F48" s="60" t="s">
        <v>48</v>
      </c>
      <c r="G48" s="60">
        <v>0</v>
      </c>
    </row>
    <row r="49" spans="2:7" x14ac:dyDescent="0.3">
      <c r="B49" s="60" t="s">
        <v>134</v>
      </c>
      <c r="C49" s="60" t="s">
        <v>135</v>
      </c>
      <c r="D49" s="63">
        <v>15</v>
      </c>
      <c r="E49" s="60" t="s">
        <v>152</v>
      </c>
      <c r="F49" s="60" t="s">
        <v>48</v>
      </c>
      <c r="G49" s="60">
        <v>0</v>
      </c>
    </row>
    <row r="50" spans="2:7" x14ac:dyDescent="0.3">
      <c r="B50" s="60" t="s">
        <v>136</v>
      </c>
      <c r="C50" s="60" t="s">
        <v>137</v>
      </c>
      <c r="D50" s="63">
        <v>50</v>
      </c>
      <c r="E50" s="60" t="s">
        <v>138</v>
      </c>
      <c r="F50" s="60" t="s">
        <v>48</v>
      </c>
      <c r="G50" s="60">
        <v>0</v>
      </c>
    </row>
    <row r="51" spans="2:7" x14ac:dyDescent="0.3">
      <c r="B51" s="60" t="s">
        <v>139</v>
      </c>
      <c r="C51" s="60" t="s">
        <v>140</v>
      </c>
      <c r="D51" s="63">
        <v>70</v>
      </c>
      <c r="E51" s="60" t="s">
        <v>141</v>
      </c>
      <c r="F51" s="60" t="s">
        <v>48</v>
      </c>
      <c r="G51" s="60">
        <v>0</v>
      </c>
    </row>
    <row r="52" spans="2:7" x14ac:dyDescent="0.3">
      <c r="B52" s="60" t="s">
        <v>142</v>
      </c>
      <c r="C52" s="60" t="s">
        <v>143</v>
      </c>
      <c r="D52" s="63">
        <v>30</v>
      </c>
      <c r="E52" s="60" t="s">
        <v>144</v>
      </c>
      <c r="F52" s="60" t="s">
        <v>48</v>
      </c>
      <c r="G52" s="60">
        <v>0</v>
      </c>
    </row>
    <row r="53" spans="2:7" ht="15" thickBot="1" x14ac:dyDescent="0.35">
      <c r="B53" s="58" t="s">
        <v>145</v>
      </c>
      <c r="C53" s="58" t="s">
        <v>146</v>
      </c>
      <c r="D53" s="62">
        <v>50</v>
      </c>
      <c r="E53" s="58" t="s">
        <v>147</v>
      </c>
      <c r="F53" s="58" t="s">
        <v>48</v>
      </c>
      <c r="G53" s="58">
        <v>0</v>
      </c>
    </row>
  </sheetData>
  <pageMargins left="0.7" right="0.7" top="0.75" bottom="0.75" header="0.3" footer="0.3"/>
  <pageSetup scale="6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3490-994F-4E9A-BC3A-3CDDD0B676C4}">
  <sheetPr>
    <tabColor theme="5" tint="-0.249977111117893"/>
  </sheetPr>
  <dimension ref="A1"/>
  <sheetViews>
    <sheetView showGridLines="0" workbookViewId="0">
      <selection sqref="A1:H41"/>
    </sheetView>
  </sheetViews>
  <sheetFormatPr defaultRowHeight="14.4" x14ac:dyDescent="0.3"/>
  <cols>
    <col min="1" max="1" width="2.33203125" customWidth="1"/>
    <col min="2" max="2" width="6.21875" bestFit="1" customWidth="1"/>
    <col min="3" max="3" width="16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8A83-5F3C-4934-B4CF-3CA4533849BF}">
  <sheetPr>
    <tabColor theme="5" tint="-0.249977111117893"/>
    <pageSetUpPr fitToPage="1"/>
  </sheetPr>
  <dimension ref="B2:J21"/>
  <sheetViews>
    <sheetView view="pageBreakPreview" zoomScale="87" zoomScaleNormal="100" workbookViewId="0">
      <selection activeCell="R16" sqref="R16"/>
    </sheetView>
  </sheetViews>
  <sheetFormatPr defaultRowHeight="14.4" x14ac:dyDescent="0.3"/>
  <cols>
    <col min="1" max="1" width="4.6640625" customWidth="1"/>
    <col min="2" max="2" width="10.44140625" bestFit="1" customWidth="1"/>
    <col min="7" max="7" width="12.33203125" customWidth="1"/>
    <col min="8" max="8" width="14" bestFit="1" customWidth="1"/>
  </cols>
  <sheetData>
    <row r="2" spans="2:10" x14ac:dyDescent="0.3">
      <c r="B2" s="1"/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3" t="s">
        <v>116</v>
      </c>
    </row>
    <row r="3" spans="2:10" x14ac:dyDescent="0.3">
      <c r="B3" s="2" t="s">
        <v>117</v>
      </c>
      <c r="C3" s="17">
        <v>4</v>
      </c>
      <c r="D3" s="17">
        <v>6</v>
      </c>
      <c r="E3" s="17">
        <v>8</v>
      </c>
      <c r="F3" s="17">
        <v>13</v>
      </c>
      <c r="G3" s="17">
        <v>0</v>
      </c>
      <c r="H3" s="4">
        <v>50</v>
      </c>
      <c r="I3" s="10" t="s">
        <v>8</v>
      </c>
      <c r="J3" s="4">
        <v>50</v>
      </c>
    </row>
    <row r="4" spans="2:10" x14ac:dyDescent="0.3">
      <c r="B4" s="2" t="s">
        <v>118</v>
      </c>
      <c r="C4" s="17">
        <v>13</v>
      </c>
      <c r="D4" s="17">
        <v>11</v>
      </c>
      <c r="E4" s="17">
        <v>10</v>
      </c>
      <c r="F4" s="17">
        <v>8</v>
      </c>
      <c r="G4" s="17">
        <v>0</v>
      </c>
      <c r="H4" s="4">
        <v>70</v>
      </c>
      <c r="I4" s="10" t="s">
        <v>8</v>
      </c>
      <c r="J4" s="4">
        <v>70</v>
      </c>
    </row>
    <row r="5" spans="2:10" x14ac:dyDescent="0.3">
      <c r="B5" s="2" t="s">
        <v>119</v>
      </c>
      <c r="C5" s="17">
        <v>14</v>
      </c>
      <c r="D5" s="17">
        <v>4</v>
      </c>
      <c r="E5" s="17">
        <v>10</v>
      </c>
      <c r="F5" s="17">
        <v>13</v>
      </c>
      <c r="G5" s="17">
        <v>0</v>
      </c>
      <c r="H5" s="4">
        <v>30</v>
      </c>
      <c r="I5" s="10" t="s">
        <v>8</v>
      </c>
      <c r="J5" s="4">
        <v>30</v>
      </c>
    </row>
    <row r="6" spans="2:10" x14ac:dyDescent="0.3">
      <c r="B6" s="2" t="s">
        <v>120</v>
      </c>
      <c r="C6" s="17">
        <v>9</v>
      </c>
      <c r="D6" s="17">
        <v>11</v>
      </c>
      <c r="E6" s="17">
        <v>13</v>
      </c>
      <c r="F6" s="17">
        <v>8</v>
      </c>
      <c r="G6" s="17">
        <v>0</v>
      </c>
      <c r="H6" s="4">
        <v>50</v>
      </c>
      <c r="I6" s="10" t="s">
        <v>8</v>
      </c>
      <c r="J6" s="4">
        <v>50</v>
      </c>
    </row>
    <row r="7" spans="2:10" x14ac:dyDescent="0.3">
      <c r="B7" s="5" t="s">
        <v>121</v>
      </c>
      <c r="C7" s="4">
        <v>25</v>
      </c>
      <c r="D7" s="4">
        <v>35</v>
      </c>
      <c r="E7" s="4">
        <v>105</v>
      </c>
      <c r="F7" s="4">
        <v>20</v>
      </c>
      <c r="G7" s="4">
        <v>15</v>
      </c>
      <c r="H7" s="4">
        <v>200</v>
      </c>
    </row>
    <row r="8" spans="2:10" x14ac:dyDescent="0.3">
      <c r="C8" s="9" t="s">
        <v>122</v>
      </c>
      <c r="D8" s="9" t="s">
        <v>122</v>
      </c>
      <c r="E8" s="9" t="s">
        <v>122</v>
      </c>
      <c r="F8" s="9" t="s">
        <v>122</v>
      </c>
      <c r="G8" s="9" t="s">
        <v>122</v>
      </c>
    </row>
    <row r="9" spans="2:10" x14ac:dyDescent="0.3">
      <c r="C9" s="4">
        <v>25</v>
      </c>
      <c r="D9" s="4">
        <v>35</v>
      </c>
      <c r="E9" s="4">
        <v>105</v>
      </c>
      <c r="F9" s="4">
        <v>20</v>
      </c>
      <c r="G9" s="4">
        <v>15</v>
      </c>
    </row>
    <row r="11" spans="2:10" x14ac:dyDescent="0.3">
      <c r="H11" s="6" t="s">
        <v>123</v>
      </c>
      <c r="I11" s="7"/>
      <c r="J11" s="7"/>
    </row>
    <row r="12" spans="2:10" x14ac:dyDescent="0.3">
      <c r="H12" s="11" t="s">
        <v>7</v>
      </c>
      <c r="I12" s="11" t="s">
        <v>122</v>
      </c>
      <c r="J12" s="11">
        <f>SUMPRODUCT(C3:G6,C15:G18)</f>
        <v>1465</v>
      </c>
    </row>
    <row r="14" spans="2:10" x14ac:dyDescent="0.3">
      <c r="B14" s="1"/>
      <c r="C14" s="2" t="s">
        <v>111</v>
      </c>
      <c r="D14" s="2" t="s">
        <v>112</v>
      </c>
      <c r="E14" s="2" t="s">
        <v>113</v>
      </c>
      <c r="F14" s="2" t="s">
        <v>114</v>
      </c>
      <c r="G14" s="2" t="s">
        <v>115</v>
      </c>
      <c r="H14" s="3" t="s">
        <v>116</v>
      </c>
    </row>
    <row r="15" spans="2:10" x14ac:dyDescent="0.3">
      <c r="B15" s="2" t="s">
        <v>117</v>
      </c>
      <c r="C15" s="4">
        <v>25</v>
      </c>
      <c r="D15" s="4">
        <v>0</v>
      </c>
      <c r="E15" s="4">
        <v>25</v>
      </c>
      <c r="F15" s="4">
        <v>0</v>
      </c>
      <c r="G15" s="4">
        <v>0</v>
      </c>
      <c r="H15" s="4">
        <f>SUM(C15:G15)</f>
        <v>50</v>
      </c>
      <c r="I15" s="10" t="s">
        <v>8</v>
      </c>
      <c r="J15" s="4">
        <v>50</v>
      </c>
    </row>
    <row r="16" spans="2:10" x14ac:dyDescent="0.3">
      <c r="B16" s="2" t="s">
        <v>118</v>
      </c>
      <c r="C16" s="4">
        <v>0</v>
      </c>
      <c r="D16" s="4">
        <v>0</v>
      </c>
      <c r="E16" s="4">
        <v>70</v>
      </c>
      <c r="F16" s="4">
        <v>0</v>
      </c>
      <c r="G16" s="4">
        <v>0</v>
      </c>
      <c r="H16" s="4">
        <f t="shared" ref="H16:H18" si="0">SUM(C16:G16)</f>
        <v>70</v>
      </c>
      <c r="I16" s="10" t="s">
        <v>8</v>
      </c>
      <c r="J16" s="4">
        <v>70</v>
      </c>
    </row>
    <row r="17" spans="2:10" x14ac:dyDescent="0.3">
      <c r="B17" s="2" t="s">
        <v>119</v>
      </c>
      <c r="C17" s="4">
        <v>0</v>
      </c>
      <c r="D17" s="4">
        <v>30</v>
      </c>
      <c r="E17" s="4">
        <v>0</v>
      </c>
      <c r="F17" s="4">
        <v>0</v>
      </c>
      <c r="G17" s="4">
        <v>0</v>
      </c>
      <c r="H17" s="4">
        <f t="shared" si="0"/>
        <v>30</v>
      </c>
      <c r="I17" s="10" t="s">
        <v>8</v>
      </c>
      <c r="J17" s="4">
        <v>30</v>
      </c>
    </row>
    <row r="18" spans="2:10" x14ac:dyDescent="0.3">
      <c r="B18" s="2" t="s">
        <v>120</v>
      </c>
      <c r="C18" s="4">
        <v>0</v>
      </c>
      <c r="D18" s="4">
        <v>5</v>
      </c>
      <c r="E18" s="4">
        <v>10</v>
      </c>
      <c r="F18" s="4">
        <v>20</v>
      </c>
      <c r="G18" s="4">
        <v>15</v>
      </c>
      <c r="H18" s="4">
        <f t="shared" si="0"/>
        <v>50</v>
      </c>
      <c r="I18" s="10" t="s">
        <v>8</v>
      </c>
      <c r="J18" s="4">
        <v>50</v>
      </c>
    </row>
    <row r="19" spans="2:10" x14ac:dyDescent="0.3">
      <c r="B19" s="5" t="s">
        <v>121</v>
      </c>
      <c r="C19" s="4">
        <f>SUM(C15:C18)</f>
        <v>25</v>
      </c>
      <c r="D19" s="4">
        <f t="shared" ref="D19:G19" si="1">SUM(D15:D18)</f>
        <v>35</v>
      </c>
      <c r="E19" s="4">
        <f t="shared" si="1"/>
        <v>105</v>
      </c>
      <c r="F19" s="4">
        <f t="shared" si="1"/>
        <v>20</v>
      </c>
      <c r="G19" s="4">
        <f t="shared" si="1"/>
        <v>15</v>
      </c>
      <c r="H19" s="4">
        <v>200</v>
      </c>
    </row>
    <row r="20" spans="2:10" x14ac:dyDescent="0.3">
      <c r="C20" s="9" t="s">
        <v>122</v>
      </c>
      <c r="D20" s="9" t="s">
        <v>122</v>
      </c>
      <c r="E20" s="9" t="s">
        <v>122</v>
      </c>
      <c r="F20" s="9" t="s">
        <v>122</v>
      </c>
      <c r="G20" s="9" t="s">
        <v>122</v>
      </c>
    </row>
    <row r="21" spans="2:10" x14ac:dyDescent="0.3">
      <c r="C21" s="4">
        <v>25</v>
      </c>
      <c r="D21" s="4">
        <v>35</v>
      </c>
      <c r="E21" s="4">
        <v>105</v>
      </c>
      <c r="F21" s="4">
        <v>20</v>
      </c>
      <c r="G21" s="4">
        <v>15</v>
      </c>
    </row>
  </sheetData>
  <pageMargins left="0.25" right="0.25" top="0.75" bottom="0.75" header="0.3" footer="0.3"/>
  <pageSetup paperSize="9" fitToWidth="4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DA2C-22D2-485E-A01F-5FAB919BD269}">
  <sheetPr>
    <tabColor theme="5" tint="-0.249977111117893"/>
    <pageSetUpPr fitToPage="1"/>
  </sheetPr>
  <dimension ref="B2:S63"/>
  <sheetViews>
    <sheetView showGridLines="0" zoomScale="71" zoomScaleNormal="58" workbookViewId="0">
      <selection activeCell="C1" sqref="C1:C1048576"/>
    </sheetView>
  </sheetViews>
  <sheetFormatPr defaultRowHeight="13.8" x14ac:dyDescent="0.25"/>
  <cols>
    <col min="1" max="1" width="2.88671875" style="24" customWidth="1"/>
    <col min="2" max="2" width="2.33203125" style="24" customWidth="1"/>
    <col min="3" max="3" width="7.33203125" style="24" customWidth="1"/>
    <col min="4" max="4" width="9.21875" style="24" bestFit="1" customWidth="1"/>
    <col min="5" max="5" width="12.6640625" style="24" bestFit="1" customWidth="1"/>
    <col min="6" max="6" width="12.88671875" style="24" bestFit="1" customWidth="1"/>
    <col min="7" max="7" width="7" style="24" bestFit="1" customWidth="1"/>
    <col min="8" max="8" width="5.33203125" style="24" bestFit="1" customWidth="1"/>
    <col min="9" max="10" width="8.88671875" style="24"/>
    <col min="11" max="11" width="32" style="24" customWidth="1"/>
    <col min="12" max="12" width="2.33203125" style="24" customWidth="1"/>
    <col min="13" max="13" width="6.21875" style="24" bestFit="1" customWidth="1"/>
    <col min="14" max="14" width="11.21875" style="24" bestFit="1" customWidth="1"/>
    <col min="15" max="15" width="5.77734375" style="24" bestFit="1" customWidth="1"/>
    <col min="16" max="16" width="8.33203125" style="24" bestFit="1" customWidth="1"/>
    <col min="17" max="17" width="10.109375" style="24" bestFit="1" customWidth="1"/>
    <col min="18" max="19" width="9.21875" style="24" bestFit="1" customWidth="1"/>
    <col min="20" max="16384" width="8.88671875" style="24"/>
  </cols>
  <sheetData>
    <row r="2" spans="2:19" x14ac:dyDescent="0.25">
      <c r="B2" s="23" t="s">
        <v>12</v>
      </c>
      <c r="L2" s="23" t="s">
        <v>50</v>
      </c>
    </row>
    <row r="3" spans="2:19" x14ac:dyDescent="0.25">
      <c r="B3" s="23" t="s">
        <v>196</v>
      </c>
      <c r="D3" s="23" t="s">
        <v>366</v>
      </c>
      <c r="L3" s="23" t="s">
        <v>196</v>
      </c>
      <c r="N3" s="23" t="s">
        <v>366</v>
      </c>
    </row>
    <row r="4" spans="2:19" x14ac:dyDescent="0.25">
      <c r="B4" s="23" t="s">
        <v>197</v>
      </c>
      <c r="L4" s="23" t="s">
        <v>197</v>
      </c>
    </row>
    <row r="5" spans="2:19" x14ac:dyDescent="0.25">
      <c r="B5" s="23" t="s">
        <v>13</v>
      </c>
    </row>
    <row r="6" spans="2:19" x14ac:dyDescent="0.25">
      <c r="B6" s="23" t="s">
        <v>14</v>
      </c>
    </row>
    <row r="7" spans="2:19" ht="14.4" thickBot="1" x14ac:dyDescent="0.3">
      <c r="B7" s="23"/>
      <c r="C7" s="24" t="s">
        <v>15</v>
      </c>
      <c r="L7" s="24" t="s">
        <v>25</v>
      </c>
    </row>
    <row r="8" spans="2:19" x14ac:dyDescent="0.25">
      <c r="B8" s="23"/>
      <c r="C8" s="24" t="s">
        <v>198</v>
      </c>
      <c r="M8" s="25"/>
      <c r="N8" s="25"/>
      <c r="O8" s="25" t="s">
        <v>51</v>
      </c>
      <c r="P8" s="25" t="s">
        <v>53</v>
      </c>
      <c r="Q8" s="25" t="s">
        <v>55</v>
      </c>
      <c r="R8" s="25" t="s">
        <v>57</v>
      </c>
      <c r="S8" s="25" t="s">
        <v>57</v>
      </c>
    </row>
    <row r="9" spans="2:19" ht="14.4" thickBot="1" x14ac:dyDescent="0.3">
      <c r="B9" s="23"/>
      <c r="C9" s="24" t="s">
        <v>199</v>
      </c>
      <c r="M9" s="26" t="s">
        <v>21</v>
      </c>
      <c r="N9" s="26" t="s">
        <v>22</v>
      </c>
      <c r="O9" s="26" t="s">
        <v>52</v>
      </c>
      <c r="P9" s="26" t="s">
        <v>54</v>
      </c>
      <c r="Q9" s="26" t="s">
        <v>56</v>
      </c>
      <c r="R9" s="26" t="s">
        <v>58</v>
      </c>
      <c r="S9" s="26" t="s">
        <v>59</v>
      </c>
    </row>
    <row r="10" spans="2:19" x14ac:dyDescent="0.25">
      <c r="B10" s="23" t="s">
        <v>17</v>
      </c>
      <c r="M10" s="27" t="s">
        <v>201</v>
      </c>
      <c r="N10" s="27" t="s">
        <v>117</v>
      </c>
      <c r="O10" s="27">
        <v>300</v>
      </c>
      <c r="P10" s="27">
        <v>0</v>
      </c>
      <c r="Q10" s="27">
        <v>10</v>
      </c>
      <c r="R10" s="27">
        <v>9989</v>
      </c>
      <c r="S10" s="27">
        <v>1E+30</v>
      </c>
    </row>
    <row r="11" spans="2:19" x14ac:dyDescent="0.25">
      <c r="C11" s="24" t="s">
        <v>18</v>
      </c>
      <c r="M11" s="27" t="s">
        <v>202</v>
      </c>
      <c r="N11" s="27" t="s">
        <v>117</v>
      </c>
      <c r="O11" s="27">
        <v>300</v>
      </c>
      <c r="P11" s="27">
        <v>0</v>
      </c>
      <c r="Q11" s="27">
        <v>13</v>
      </c>
      <c r="R11" s="27">
        <v>0</v>
      </c>
      <c r="S11" s="27">
        <v>1</v>
      </c>
    </row>
    <row r="12" spans="2:19" x14ac:dyDescent="0.25">
      <c r="C12" s="24" t="s">
        <v>19</v>
      </c>
      <c r="M12" s="27" t="s">
        <v>203</v>
      </c>
      <c r="N12" s="27" t="s">
        <v>117</v>
      </c>
      <c r="O12" s="27">
        <v>0</v>
      </c>
      <c r="P12" s="27">
        <v>0</v>
      </c>
      <c r="Q12" s="27">
        <v>16</v>
      </c>
      <c r="R12" s="27">
        <v>1E+30</v>
      </c>
      <c r="S12" s="27">
        <v>0</v>
      </c>
    </row>
    <row r="13" spans="2:19" x14ac:dyDescent="0.25">
      <c r="M13" s="27" t="s">
        <v>204</v>
      </c>
      <c r="N13" s="27" t="s">
        <v>117</v>
      </c>
      <c r="O13" s="27">
        <v>0</v>
      </c>
      <c r="P13" s="27">
        <v>0</v>
      </c>
      <c r="Q13" s="27">
        <v>19</v>
      </c>
      <c r="R13" s="27">
        <v>1E+30</v>
      </c>
      <c r="S13" s="27">
        <v>0</v>
      </c>
    </row>
    <row r="14" spans="2:19" ht="14.4" thickBot="1" x14ac:dyDescent="0.3">
      <c r="B14" s="24" t="s">
        <v>93</v>
      </c>
      <c r="M14" s="27" t="s">
        <v>205</v>
      </c>
      <c r="N14" s="27" t="s">
        <v>117</v>
      </c>
      <c r="O14" s="27">
        <v>100</v>
      </c>
      <c r="P14" s="27">
        <v>0</v>
      </c>
      <c r="Q14" s="27">
        <v>0</v>
      </c>
      <c r="R14" s="27">
        <v>1</v>
      </c>
      <c r="S14" s="27">
        <v>0</v>
      </c>
    </row>
    <row r="15" spans="2:19" ht="14.4" thickBot="1" x14ac:dyDescent="0.3">
      <c r="C15" s="29" t="s">
        <v>21</v>
      </c>
      <c r="D15" s="29" t="s">
        <v>22</v>
      </c>
      <c r="E15" s="29" t="s">
        <v>23</v>
      </c>
      <c r="F15" s="29" t="s">
        <v>24</v>
      </c>
      <c r="M15" s="27" t="s">
        <v>206</v>
      </c>
      <c r="N15" s="27" t="s">
        <v>118</v>
      </c>
      <c r="O15" s="27">
        <v>0</v>
      </c>
      <c r="P15" s="27">
        <v>9992</v>
      </c>
      <c r="Q15" s="27">
        <v>9999</v>
      </c>
      <c r="R15" s="27">
        <v>1E+30</v>
      </c>
      <c r="S15" s="27">
        <v>9992</v>
      </c>
    </row>
    <row r="16" spans="2:19" ht="14.4" thickBot="1" x14ac:dyDescent="0.3">
      <c r="C16" s="28" t="s">
        <v>200</v>
      </c>
      <c r="D16" s="30" t="s">
        <v>122</v>
      </c>
      <c r="E16" s="28">
        <v>36100</v>
      </c>
      <c r="F16" s="28">
        <v>36100</v>
      </c>
      <c r="M16" s="27" t="s">
        <v>207</v>
      </c>
      <c r="N16" s="27" t="s">
        <v>118</v>
      </c>
      <c r="O16" s="27">
        <v>400</v>
      </c>
      <c r="P16" s="27">
        <v>0</v>
      </c>
      <c r="Q16" s="27">
        <v>10</v>
      </c>
      <c r="R16" s="27">
        <v>1</v>
      </c>
      <c r="S16" s="27">
        <v>0</v>
      </c>
    </row>
    <row r="17" spans="2:19" x14ac:dyDescent="0.25">
      <c r="M17" s="27" t="s">
        <v>208</v>
      </c>
      <c r="N17" s="27" t="s">
        <v>118</v>
      </c>
      <c r="O17" s="27">
        <v>300</v>
      </c>
      <c r="P17" s="27">
        <v>0</v>
      </c>
      <c r="Q17" s="27">
        <v>13</v>
      </c>
      <c r="R17" s="27">
        <v>0</v>
      </c>
      <c r="S17" s="27">
        <v>1</v>
      </c>
    </row>
    <row r="18" spans="2:19" ht="14.4" thickBot="1" x14ac:dyDescent="0.3">
      <c r="B18" s="24" t="s">
        <v>25</v>
      </c>
      <c r="M18" s="27" t="s">
        <v>209</v>
      </c>
      <c r="N18" s="27" t="s">
        <v>118</v>
      </c>
      <c r="O18" s="27">
        <v>0</v>
      </c>
      <c r="P18" s="27">
        <v>0</v>
      </c>
      <c r="Q18" s="27">
        <v>16</v>
      </c>
      <c r="R18" s="27">
        <v>1E+30</v>
      </c>
      <c r="S18" s="27">
        <v>0</v>
      </c>
    </row>
    <row r="19" spans="2:19" ht="14.4" thickBot="1" x14ac:dyDescent="0.3">
      <c r="C19" s="29" t="s">
        <v>21</v>
      </c>
      <c r="D19" s="29" t="s">
        <v>22</v>
      </c>
      <c r="E19" s="29" t="s">
        <v>23</v>
      </c>
      <c r="F19" s="29" t="s">
        <v>24</v>
      </c>
      <c r="G19" s="29" t="s">
        <v>26</v>
      </c>
      <c r="M19" s="27" t="s">
        <v>210</v>
      </c>
      <c r="N19" s="27" t="s">
        <v>118</v>
      </c>
      <c r="O19" s="27">
        <v>0</v>
      </c>
      <c r="P19" s="27">
        <v>3</v>
      </c>
      <c r="Q19" s="27">
        <v>0</v>
      </c>
      <c r="R19" s="27">
        <v>1E+30</v>
      </c>
      <c r="S19" s="27">
        <v>3</v>
      </c>
    </row>
    <row r="20" spans="2:19" x14ac:dyDescent="0.25">
      <c r="C20" s="27" t="s">
        <v>201</v>
      </c>
      <c r="D20" s="27" t="s">
        <v>117</v>
      </c>
      <c r="E20" s="27">
        <v>300</v>
      </c>
      <c r="F20" s="27">
        <v>300</v>
      </c>
      <c r="G20" s="27" t="s">
        <v>35</v>
      </c>
      <c r="M20" s="27" t="s">
        <v>211</v>
      </c>
      <c r="N20" s="27" t="s">
        <v>212</v>
      </c>
      <c r="O20" s="27">
        <v>0</v>
      </c>
      <c r="P20" s="27">
        <v>9989</v>
      </c>
      <c r="Q20" s="27">
        <v>9999</v>
      </c>
      <c r="R20" s="27">
        <v>1E+30</v>
      </c>
      <c r="S20" s="27">
        <v>9989</v>
      </c>
    </row>
    <row r="21" spans="2:19" x14ac:dyDescent="0.25">
      <c r="C21" s="27" t="s">
        <v>202</v>
      </c>
      <c r="D21" s="27" t="s">
        <v>117</v>
      </c>
      <c r="E21" s="27">
        <v>300</v>
      </c>
      <c r="F21" s="27">
        <v>300</v>
      </c>
      <c r="G21" s="27" t="s">
        <v>35</v>
      </c>
      <c r="M21" s="27" t="s">
        <v>213</v>
      </c>
      <c r="N21" s="27" t="s">
        <v>212</v>
      </c>
      <c r="O21" s="27">
        <v>0</v>
      </c>
      <c r="P21" s="27">
        <v>2</v>
      </c>
      <c r="Q21" s="27">
        <v>15</v>
      </c>
      <c r="R21" s="27">
        <v>1E+30</v>
      </c>
      <c r="S21" s="27">
        <v>2</v>
      </c>
    </row>
    <row r="22" spans="2:19" x14ac:dyDescent="0.25">
      <c r="C22" s="27" t="s">
        <v>203</v>
      </c>
      <c r="D22" s="27" t="s">
        <v>117</v>
      </c>
      <c r="E22" s="27">
        <v>0</v>
      </c>
      <c r="F22" s="27">
        <v>0</v>
      </c>
      <c r="G22" s="27" t="s">
        <v>35</v>
      </c>
      <c r="M22" s="27" t="s">
        <v>214</v>
      </c>
      <c r="N22" s="27" t="s">
        <v>212</v>
      </c>
      <c r="O22" s="27">
        <v>0</v>
      </c>
      <c r="P22" s="27">
        <v>2</v>
      </c>
      <c r="Q22" s="27">
        <v>18</v>
      </c>
      <c r="R22" s="27">
        <v>1E+30</v>
      </c>
      <c r="S22" s="27">
        <v>2</v>
      </c>
    </row>
    <row r="23" spans="2:19" x14ac:dyDescent="0.25">
      <c r="C23" s="27" t="s">
        <v>204</v>
      </c>
      <c r="D23" s="27" t="s">
        <v>117</v>
      </c>
      <c r="E23" s="27">
        <v>0</v>
      </c>
      <c r="F23" s="27">
        <v>0</v>
      </c>
      <c r="G23" s="27" t="s">
        <v>35</v>
      </c>
      <c r="M23" s="27" t="s">
        <v>215</v>
      </c>
      <c r="N23" s="27" t="s">
        <v>212</v>
      </c>
      <c r="O23" s="27">
        <v>0</v>
      </c>
      <c r="P23" s="27">
        <v>2</v>
      </c>
      <c r="Q23" s="27">
        <v>21</v>
      </c>
      <c r="R23" s="27">
        <v>1E+30</v>
      </c>
      <c r="S23" s="27">
        <v>2</v>
      </c>
    </row>
    <row r="24" spans="2:19" x14ac:dyDescent="0.25">
      <c r="C24" s="27" t="s">
        <v>205</v>
      </c>
      <c r="D24" s="27" t="s">
        <v>117</v>
      </c>
      <c r="E24" s="27">
        <v>100</v>
      </c>
      <c r="F24" s="27">
        <v>100</v>
      </c>
      <c r="G24" s="27" t="s">
        <v>35</v>
      </c>
      <c r="M24" s="27" t="s">
        <v>216</v>
      </c>
      <c r="N24" s="27" t="s">
        <v>212</v>
      </c>
      <c r="O24" s="27">
        <v>200</v>
      </c>
      <c r="P24" s="27">
        <v>0</v>
      </c>
      <c r="Q24" s="27">
        <v>0</v>
      </c>
      <c r="R24" s="27">
        <v>0</v>
      </c>
      <c r="S24" s="27">
        <v>1E+30</v>
      </c>
    </row>
    <row r="25" spans="2:19" x14ac:dyDescent="0.25">
      <c r="C25" s="27" t="s">
        <v>206</v>
      </c>
      <c r="D25" s="27" t="s">
        <v>118</v>
      </c>
      <c r="E25" s="27">
        <v>0</v>
      </c>
      <c r="F25" s="27">
        <v>0</v>
      </c>
      <c r="G25" s="27" t="s">
        <v>35</v>
      </c>
      <c r="M25" s="27" t="s">
        <v>153</v>
      </c>
      <c r="N25" s="27" t="s">
        <v>119</v>
      </c>
      <c r="O25" s="27">
        <v>0</v>
      </c>
      <c r="P25" s="27">
        <v>9990</v>
      </c>
      <c r="Q25" s="27">
        <v>9999</v>
      </c>
      <c r="R25" s="27">
        <v>1E+30</v>
      </c>
      <c r="S25" s="27">
        <v>9990</v>
      </c>
    </row>
    <row r="26" spans="2:19" x14ac:dyDescent="0.25">
      <c r="C26" s="27" t="s">
        <v>207</v>
      </c>
      <c r="D26" s="27" t="s">
        <v>118</v>
      </c>
      <c r="E26" s="27">
        <v>400</v>
      </c>
      <c r="F26" s="27">
        <v>400</v>
      </c>
      <c r="G26" s="27" t="s">
        <v>35</v>
      </c>
      <c r="M26" s="27" t="s">
        <v>155</v>
      </c>
      <c r="N26" s="27" t="s">
        <v>119</v>
      </c>
      <c r="O26" s="27">
        <v>0</v>
      </c>
      <c r="P26" s="27">
        <v>9987</v>
      </c>
      <c r="Q26" s="27">
        <v>9999</v>
      </c>
      <c r="R26" s="27">
        <v>1E+30</v>
      </c>
      <c r="S26" s="27">
        <v>9987</v>
      </c>
    </row>
    <row r="27" spans="2:19" x14ac:dyDescent="0.25">
      <c r="C27" s="27" t="s">
        <v>208</v>
      </c>
      <c r="D27" s="27" t="s">
        <v>118</v>
      </c>
      <c r="E27" s="27">
        <v>300</v>
      </c>
      <c r="F27" s="27">
        <v>300</v>
      </c>
      <c r="G27" s="27" t="s">
        <v>35</v>
      </c>
      <c r="M27" s="27" t="s">
        <v>157</v>
      </c>
      <c r="N27" s="27" t="s">
        <v>119</v>
      </c>
      <c r="O27" s="27">
        <v>600</v>
      </c>
      <c r="P27" s="27">
        <v>0</v>
      </c>
      <c r="Q27" s="27">
        <v>15</v>
      </c>
      <c r="R27" s="27">
        <v>1</v>
      </c>
      <c r="S27" s="27">
        <v>0</v>
      </c>
    </row>
    <row r="28" spans="2:19" x14ac:dyDescent="0.25">
      <c r="C28" s="27" t="s">
        <v>209</v>
      </c>
      <c r="D28" s="27" t="s">
        <v>118</v>
      </c>
      <c r="E28" s="27">
        <v>0</v>
      </c>
      <c r="F28" s="27">
        <v>0</v>
      </c>
      <c r="G28" s="27" t="s">
        <v>35</v>
      </c>
      <c r="M28" s="27" t="s">
        <v>159</v>
      </c>
      <c r="N28" s="27" t="s">
        <v>119</v>
      </c>
      <c r="O28" s="27">
        <v>100</v>
      </c>
      <c r="P28" s="27">
        <v>0</v>
      </c>
      <c r="Q28" s="27">
        <v>18</v>
      </c>
      <c r="R28" s="27">
        <v>0</v>
      </c>
      <c r="S28" s="27">
        <v>4</v>
      </c>
    </row>
    <row r="29" spans="2:19" x14ac:dyDescent="0.25">
      <c r="C29" s="27" t="s">
        <v>210</v>
      </c>
      <c r="D29" s="27" t="s">
        <v>118</v>
      </c>
      <c r="E29" s="27">
        <v>0</v>
      </c>
      <c r="F29" s="27">
        <v>0</v>
      </c>
      <c r="G29" s="27" t="s">
        <v>35</v>
      </c>
      <c r="M29" s="27" t="s">
        <v>161</v>
      </c>
      <c r="N29" s="27" t="s">
        <v>119</v>
      </c>
      <c r="O29" s="27">
        <v>0</v>
      </c>
      <c r="P29" s="27">
        <v>1</v>
      </c>
      <c r="Q29" s="27">
        <v>0</v>
      </c>
      <c r="R29" s="27">
        <v>1E+30</v>
      </c>
      <c r="S29" s="27">
        <v>1</v>
      </c>
    </row>
    <row r="30" spans="2:19" x14ac:dyDescent="0.25">
      <c r="C30" s="27" t="s">
        <v>211</v>
      </c>
      <c r="D30" s="27" t="s">
        <v>212</v>
      </c>
      <c r="E30" s="27">
        <v>0</v>
      </c>
      <c r="F30" s="27">
        <v>0</v>
      </c>
      <c r="G30" s="27" t="s">
        <v>35</v>
      </c>
      <c r="M30" s="27" t="s">
        <v>163</v>
      </c>
      <c r="N30" s="27" t="s">
        <v>217</v>
      </c>
      <c r="O30" s="27">
        <v>0</v>
      </c>
      <c r="P30" s="27">
        <v>9989</v>
      </c>
      <c r="Q30" s="27">
        <v>9999</v>
      </c>
      <c r="R30" s="27">
        <v>1E+30</v>
      </c>
      <c r="S30" s="27">
        <v>9989</v>
      </c>
    </row>
    <row r="31" spans="2:19" x14ac:dyDescent="0.25">
      <c r="C31" s="27" t="s">
        <v>213</v>
      </c>
      <c r="D31" s="27" t="s">
        <v>212</v>
      </c>
      <c r="E31" s="27">
        <v>0</v>
      </c>
      <c r="F31" s="27">
        <v>0</v>
      </c>
      <c r="G31" s="27" t="s">
        <v>35</v>
      </c>
      <c r="M31" s="27" t="s">
        <v>165</v>
      </c>
      <c r="N31" s="27" t="s">
        <v>217</v>
      </c>
      <c r="O31" s="27">
        <v>0</v>
      </c>
      <c r="P31" s="27">
        <v>9986</v>
      </c>
      <c r="Q31" s="27">
        <v>9999</v>
      </c>
      <c r="R31" s="27">
        <v>1E+30</v>
      </c>
      <c r="S31" s="27">
        <v>9986</v>
      </c>
    </row>
    <row r="32" spans="2:19" x14ac:dyDescent="0.25">
      <c r="C32" s="27" t="s">
        <v>214</v>
      </c>
      <c r="D32" s="27" t="s">
        <v>212</v>
      </c>
      <c r="E32" s="27">
        <v>0</v>
      </c>
      <c r="F32" s="27">
        <v>0</v>
      </c>
      <c r="G32" s="27" t="s">
        <v>35</v>
      </c>
      <c r="M32" s="27" t="s">
        <v>167</v>
      </c>
      <c r="N32" s="27" t="s">
        <v>217</v>
      </c>
      <c r="O32" s="27">
        <v>0</v>
      </c>
      <c r="P32" s="27">
        <v>9983</v>
      </c>
      <c r="Q32" s="27">
        <v>9999</v>
      </c>
      <c r="R32" s="27">
        <v>1E+30</v>
      </c>
      <c r="S32" s="27">
        <v>9983</v>
      </c>
    </row>
    <row r="33" spans="3:19" x14ac:dyDescent="0.25">
      <c r="C33" s="27" t="s">
        <v>215</v>
      </c>
      <c r="D33" s="27" t="s">
        <v>212</v>
      </c>
      <c r="E33" s="27">
        <v>0</v>
      </c>
      <c r="F33" s="27">
        <v>0</v>
      </c>
      <c r="G33" s="27" t="s">
        <v>35</v>
      </c>
      <c r="M33" s="27" t="s">
        <v>169</v>
      </c>
      <c r="N33" s="27" t="s">
        <v>217</v>
      </c>
      <c r="O33" s="27">
        <v>0</v>
      </c>
      <c r="P33" s="27">
        <v>4</v>
      </c>
      <c r="Q33" s="27">
        <v>23</v>
      </c>
      <c r="R33" s="27">
        <v>1E+30</v>
      </c>
      <c r="S33" s="27">
        <v>4</v>
      </c>
    </row>
    <row r="34" spans="3:19" x14ac:dyDescent="0.25">
      <c r="C34" s="27" t="s">
        <v>216</v>
      </c>
      <c r="D34" s="27" t="s">
        <v>212</v>
      </c>
      <c r="E34" s="27">
        <v>200</v>
      </c>
      <c r="F34" s="27">
        <v>200</v>
      </c>
      <c r="G34" s="27" t="s">
        <v>35</v>
      </c>
      <c r="M34" s="27" t="s">
        <v>171</v>
      </c>
      <c r="N34" s="27" t="s">
        <v>217</v>
      </c>
      <c r="O34" s="27">
        <v>200</v>
      </c>
      <c r="P34" s="27">
        <v>0</v>
      </c>
      <c r="Q34" s="27">
        <v>0</v>
      </c>
      <c r="R34" s="27">
        <v>0</v>
      </c>
      <c r="S34" s="27">
        <v>1E+30</v>
      </c>
    </row>
    <row r="35" spans="3:19" x14ac:dyDescent="0.25">
      <c r="C35" s="27" t="s">
        <v>153</v>
      </c>
      <c r="D35" s="27" t="s">
        <v>119</v>
      </c>
      <c r="E35" s="27">
        <v>0</v>
      </c>
      <c r="F35" s="27">
        <v>0</v>
      </c>
      <c r="G35" s="27" t="s">
        <v>35</v>
      </c>
      <c r="M35" s="27" t="s">
        <v>173</v>
      </c>
      <c r="N35" s="27" t="s">
        <v>120</v>
      </c>
      <c r="O35" s="27">
        <v>0</v>
      </c>
      <c r="P35" s="27">
        <v>9993</v>
      </c>
      <c r="Q35" s="27">
        <v>9999</v>
      </c>
      <c r="R35" s="27">
        <v>1E+30</v>
      </c>
      <c r="S35" s="27">
        <v>9993</v>
      </c>
    </row>
    <row r="36" spans="3:19" x14ac:dyDescent="0.25">
      <c r="C36" s="27" t="s">
        <v>155</v>
      </c>
      <c r="D36" s="27" t="s">
        <v>119</v>
      </c>
      <c r="E36" s="27">
        <v>0</v>
      </c>
      <c r="F36" s="27">
        <v>0</v>
      </c>
      <c r="G36" s="27" t="s">
        <v>35</v>
      </c>
      <c r="M36" s="27" t="s">
        <v>175</v>
      </c>
      <c r="N36" s="27" t="s">
        <v>120</v>
      </c>
      <c r="O36" s="27">
        <v>0</v>
      </c>
      <c r="P36" s="27">
        <v>9990</v>
      </c>
      <c r="Q36" s="27">
        <v>9999</v>
      </c>
      <c r="R36" s="27">
        <v>1E+30</v>
      </c>
      <c r="S36" s="27">
        <v>9990</v>
      </c>
    </row>
    <row r="37" spans="3:19" x14ac:dyDescent="0.25">
      <c r="C37" s="27" t="s">
        <v>157</v>
      </c>
      <c r="D37" s="27" t="s">
        <v>119</v>
      </c>
      <c r="E37" s="27">
        <v>600</v>
      </c>
      <c r="F37" s="27">
        <v>600</v>
      </c>
      <c r="G37" s="27" t="s">
        <v>35</v>
      </c>
      <c r="M37" s="27" t="s">
        <v>177</v>
      </c>
      <c r="N37" s="27" t="s">
        <v>120</v>
      </c>
      <c r="O37" s="27">
        <v>0</v>
      </c>
      <c r="P37" s="27">
        <v>9987</v>
      </c>
      <c r="Q37" s="27">
        <v>9999</v>
      </c>
      <c r="R37" s="27">
        <v>1E+30</v>
      </c>
      <c r="S37" s="27">
        <v>9987</v>
      </c>
    </row>
    <row r="38" spans="3:19" x14ac:dyDescent="0.25">
      <c r="C38" s="27" t="s">
        <v>159</v>
      </c>
      <c r="D38" s="27" t="s">
        <v>119</v>
      </c>
      <c r="E38" s="27">
        <v>100</v>
      </c>
      <c r="F38" s="27">
        <v>100</v>
      </c>
      <c r="G38" s="27" t="s">
        <v>35</v>
      </c>
      <c r="M38" s="27" t="s">
        <v>179</v>
      </c>
      <c r="N38" s="27" t="s">
        <v>120</v>
      </c>
      <c r="O38" s="27">
        <v>700</v>
      </c>
      <c r="P38" s="27">
        <v>0</v>
      </c>
      <c r="Q38" s="27">
        <v>15</v>
      </c>
      <c r="R38" s="27">
        <v>4</v>
      </c>
      <c r="S38" s="27">
        <v>1E+30</v>
      </c>
    </row>
    <row r="39" spans="3:19" ht="14.4" thickBot="1" x14ac:dyDescent="0.3">
      <c r="C39" s="27" t="s">
        <v>161</v>
      </c>
      <c r="D39" s="27" t="s">
        <v>119</v>
      </c>
      <c r="E39" s="27">
        <v>0</v>
      </c>
      <c r="F39" s="27">
        <v>0</v>
      </c>
      <c r="G39" s="27" t="s">
        <v>35</v>
      </c>
      <c r="M39" s="28" t="s">
        <v>181</v>
      </c>
      <c r="N39" s="28" t="s">
        <v>120</v>
      </c>
      <c r="O39" s="28">
        <v>0</v>
      </c>
      <c r="P39" s="28">
        <v>4</v>
      </c>
      <c r="Q39" s="28">
        <v>0</v>
      </c>
      <c r="R39" s="28">
        <v>1E+30</v>
      </c>
      <c r="S39" s="28">
        <v>4</v>
      </c>
    </row>
    <row r="40" spans="3:19" x14ac:dyDescent="0.25">
      <c r="C40" s="27" t="s">
        <v>163</v>
      </c>
      <c r="D40" s="27" t="s">
        <v>217</v>
      </c>
      <c r="E40" s="27">
        <v>0</v>
      </c>
      <c r="F40" s="27">
        <v>0</v>
      </c>
      <c r="G40" s="27" t="s">
        <v>35</v>
      </c>
    </row>
    <row r="41" spans="3:19" ht="14.4" thickBot="1" x14ac:dyDescent="0.3">
      <c r="C41" s="27" t="s">
        <v>165</v>
      </c>
      <c r="D41" s="27" t="s">
        <v>217</v>
      </c>
      <c r="E41" s="27">
        <v>0</v>
      </c>
      <c r="F41" s="27">
        <v>0</v>
      </c>
      <c r="G41" s="27" t="s">
        <v>35</v>
      </c>
      <c r="L41" s="24" t="s">
        <v>27</v>
      </c>
    </row>
    <row r="42" spans="3:19" x14ac:dyDescent="0.25">
      <c r="C42" s="27" t="s">
        <v>167</v>
      </c>
      <c r="D42" s="27" t="s">
        <v>217</v>
      </c>
      <c r="E42" s="27">
        <v>0</v>
      </c>
      <c r="F42" s="27">
        <v>0</v>
      </c>
      <c r="G42" s="27" t="s">
        <v>35</v>
      </c>
      <c r="M42" s="25"/>
      <c r="N42" s="25"/>
      <c r="O42" s="25" t="s">
        <v>51</v>
      </c>
      <c r="P42" s="25" t="s">
        <v>60</v>
      </c>
      <c r="Q42" s="25" t="s">
        <v>62</v>
      </c>
      <c r="R42" s="25" t="s">
        <v>57</v>
      </c>
      <c r="S42" s="25" t="s">
        <v>57</v>
      </c>
    </row>
    <row r="43" spans="3:19" ht="14.4" thickBot="1" x14ac:dyDescent="0.3">
      <c r="C43" s="27" t="s">
        <v>169</v>
      </c>
      <c r="D43" s="27" t="s">
        <v>217</v>
      </c>
      <c r="E43" s="27">
        <v>0</v>
      </c>
      <c r="F43" s="27">
        <v>0</v>
      </c>
      <c r="G43" s="27" t="s">
        <v>35</v>
      </c>
      <c r="M43" s="26" t="s">
        <v>21</v>
      </c>
      <c r="N43" s="26" t="s">
        <v>22</v>
      </c>
      <c r="O43" s="26" t="s">
        <v>52</v>
      </c>
      <c r="P43" s="26" t="s">
        <v>61</v>
      </c>
      <c r="Q43" s="26" t="s">
        <v>63</v>
      </c>
      <c r="R43" s="26" t="s">
        <v>58</v>
      </c>
      <c r="S43" s="26" t="s">
        <v>59</v>
      </c>
    </row>
    <row r="44" spans="3:19" x14ac:dyDescent="0.25">
      <c r="C44" s="27" t="s">
        <v>171</v>
      </c>
      <c r="D44" s="27" t="s">
        <v>217</v>
      </c>
      <c r="E44" s="27">
        <v>200</v>
      </c>
      <c r="F44" s="27">
        <v>200</v>
      </c>
      <c r="G44" s="27" t="s">
        <v>35</v>
      </c>
      <c r="M44" s="27" t="s">
        <v>183</v>
      </c>
      <c r="N44" s="27" t="s">
        <v>121</v>
      </c>
      <c r="O44" s="27">
        <v>300</v>
      </c>
      <c r="P44" s="27">
        <v>10</v>
      </c>
      <c r="Q44" s="27">
        <v>300</v>
      </c>
      <c r="R44" s="27">
        <v>0</v>
      </c>
      <c r="S44" s="27">
        <v>300</v>
      </c>
    </row>
    <row r="45" spans="3:19" x14ac:dyDescent="0.25">
      <c r="C45" s="27" t="s">
        <v>173</v>
      </c>
      <c r="D45" s="27" t="s">
        <v>120</v>
      </c>
      <c r="E45" s="27">
        <v>0</v>
      </c>
      <c r="F45" s="27">
        <v>0</v>
      </c>
      <c r="G45" s="27" t="s">
        <v>35</v>
      </c>
      <c r="M45" s="27" t="s">
        <v>185</v>
      </c>
      <c r="N45" s="27" t="s">
        <v>121</v>
      </c>
      <c r="O45" s="27">
        <v>700</v>
      </c>
      <c r="P45" s="27">
        <v>13</v>
      </c>
      <c r="Q45" s="27">
        <v>700</v>
      </c>
      <c r="R45" s="27">
        <v>0</v>
      </c>
      <c r="S45" s="27">
        <v>300</v>
      </c>
    </row>
    <row r="46" spans="3:19" x14ac:dyDescent="0.25">
      <c r="C46" s="27" t="s">
        <v>175</v>
      </c>
      <c r="D46" s="27" t="s">
        <v>120</v>
      </c>
      <c r="E46" s="27">
        <v>0</v>
      </c>
      <c r="F46" s="27">
        <v>0</v>
      </c>
      <c r="G46" s="27" t="s">
        <v>35</v>
      </c>
      <c r="M46" s="27" t="s">
        <v>187</v>
      </c>
      <c r="N46" s="27" t="s">
        <v>121</v>
      </c>
      <c r="O46" s="27">
        <v>900</v>
      </c>
      <c r="P46" s="27">
        <v>16</v>
      </c>
      <c r="Q46" s="27">
        <v>900</v>
      </c>
      <c r="R46" s="27">
        <v>0</v>
      </c>
      <c r="S46" s="27">
        <v>300</v>
      </c>
    </row>
    <row r="47" spans="3:19" x14ac:dyDescent="0.25">
      <c r="C47" s="27" t="s">
        <v>177</v>
      </c>
      <c r="D47" s="27" t="s">
        <v>120</v>
      </c>
      <c r="E47" s="27">
        <v>0</v>
      </c>
      <c r="F47" s="27">
        <v>0</v>
      </c>
      <c r="G47" s="27" t="s">
        <v>35</v>
      </c>
      <c r="M47" s="27" t="s">
        <v>189</v>
      </c>
      <c r="N47" s="27" t="s">
        <v>121</v>
      </c>
      <c r="O47" s="27">
        <v>800</v>
      </c>
      <c r="P47" s="27">
        <v>19</v>
      </c>
      <c r="Q47" s="27">
        <v>800</v>
      </c>
      <c r="R47" s="27">
        <v>0</v>
      </c>
      <c r="S47" s="27">
        <v>100</v>
      </c>
    </row>
    <row r="48" spans="3:19" x14ac:dyDescent="0.25">
      <c r="C48" s="27" t="s">
        <v>179</v>
      </c>
      <c r="D48" s="27" t="s">
        <v>120</v>
      </c>
      <c r="E48" s="27">
        <v>700</v>
      </c>
      <c r="F48" s="27">
        <v>700</v>
      </c>
      <c r="G48" s="27" t="s">
        <v>35</v>
      </c>
      <c r="M48" s="27" t="s">
        <v>191</v>
      </c>
      <c r="N48" s="27" t="s">
        <v>121</v>
      </c>
      <c r="O48" s="27">
        <v>500</v>
      </c>
      <c r="P48" s="27">
        <v>0</v>
      </c>
      <c r="Q48" s="27">
        <v>500</v>
      </c>
      <c r="R48" s="27">
        <v>0</v>
      </c>
      <c r="S48" s="27">
        <v>100</v>
      </c>
    </row>
    <row r="49" spans="2:19" ht="14.4" thickBot="1" x14ac:dyDescent="0.3">
      <c r="C49" s="28" t="s">
        <v>181</v>
      </c>
      <c r="D49" s="28" t="s">
        <v>120</v>
      </c>
      <c r="E49" s="28">
        <v>0</v>
      </c>
      <c r="F49" s="28">
        <v>0</v>
      </c>
      <c r="G49" s="28" t="s">
        <v>35</v>
      </c>
      <c r="M49" s="27" t="s">
        <v>223</v>
      </c>
      <c r="N49" s="27" t="s">
        <v>137</v>
      </c>
      <c r="O49" s="27">
        <v>700</v>
      </c>
      <c r="P49" s="27">
        <v>0</v>
      </c>
      <c r="Q49" s="27">
        <v>700</v>
      </c>
      <c r="R49" s="27">
        <v>1E+30</v>
      </c>
      <c r="S49" s="27">
        <v>0</v>
      </c>
    </row>
    <row r="50" spans="2:19" x14ac:dyDescent="0.25">
      <c r="M50" s="27" t="s">
        <v>225</v>
      </c>
      <c r="N50" s="27" t="s">
        <v>140</v>
      </c>
      <c r="O50" s="27">
        <v>700</v>
      </c>
      <c r="P50" s="27">
        <v>-3</v>
      </c>
      <c r="Q50" s="27">
        <v>700</v>
      </c>
      <c r="R50" s="27">
        <v>300</v>
      </c>
      <c r="S50" s="27">
        <v>0</v>
      </c>
    </row>
    <row r="51" spans="2:19" ht="14.4" thickBot="1" x14ac:dyDescent="0.3">
      <c r="B51" s="24" t="s">
        <v>27</v>
      </c>
      <c r="M51" s="27" t="s">
        <v>227</v>
      </c>
      <c r="N51" s="27" t="s">
        <v>228</v>
      </c>
      <c r="O51" s="27">
        <v>200</v>
      </c>
      <c r="P51" s="27">
        <v>0</v>
      </c>
      <c r="Q51" s="27">
        <v>200</v>
      </c>
      <c r="R51" s="27">
        <v>100</v>
      </c>
      <c r="S51" s="27">
        <v>0</v>
      </c>
    </row>
    <row r="52" spans="2:19" ht="14.4" thickBot="1" x14ac:dyDescent="0.3">
      <c r="C52" s="29" t="s">
        <v>21</v>
      </c>
      <c r="D52" s="29" t="s">
        <v>22</v>
      </c>
      <c r="E52" s="29" t="s">
        <v>28</v>
      </c>
      <c r="F52" s="29" t="s">
        <v>29</v>
      </c>
      <c r="G52" s="29" t="s">
        <v>30</v>
      </c>
      <c r="H52" s="29" t="s">
        <v>31</v>
      </c>
      <c r="M52" s="27" t="s">
        <v>136</v>
      </c>
      <c r="N52" s="27" t="s">
        <v>143</v>
      </c>
      <c r="O52" s="27">
        <v>700</v>
      </c>
      <c r="P52" s="27">
        <v>-1</v>
      </c>
      <c r="Q52" s="27">
        <v>700</v>
      </c>
      <c r="R52" s="27">
        <v>300</v>
      </c>
      <c r="S52" s="27">
        <v>0</v>
      </c>
    </row>
    <row r="53" spans="2:19" x14ac:dyDescent="0.25">
      <c r="C53" s="27" t="s">
        <v>183</v>
      </c>
      <c r="D53" s="27" t="s">
        <v>121</v>
      </c>
      <c r="E53" s="27">
        <v>300</v>
      </c>
      <c r="F53" s="27" t="s">
        <v>218</v>
      </c>
      <c r="G53" s="27" t="s">
        <v>48</v>
      </c>
      <c r="H53" s="27">
        <v>0</v>
      </c>
      <c r="M53" s="27" t="s">
        <v>139</v>
      </c>
      <c r="N53" s="27" t="s">
        <v>230</v>
      </c>
      <c r="O53" s="27">
        <v>200</v>
      </c>
      <c r="P53" s="27">
        <v>0</v>
      </c>
      <c r="Q53" s="27">
        <v>200</v>
      </c>
      <c r="R53" s="27">
        <v>100</v>
      </c>
      <c r="S53" s="27">
        <v>0</v>
      </c>
    </row>
    <row r="54" spans="2:19" ht="14.4" thickBot="1" x14ac:dyDescent="0.3">
      <c r="C54" s="27" t="s">
        <v>185</v>
      </c>
      <c r="D54" s="27" t="s">
        <v>121</v>
      </c>
      <c r="E54" s="27">
        <v>700</v>
      </c>
      <c r="F54" s="27" t="s">
        <v>219</v>
      </c>
      <c r="G54" s="27" t="s">
        <v>48</v>
      </c>
      <c r="H54" s="27">
        <v>0</v>
      </c>
      <c r="M54" s="28" t="s">
        <v>142</v>
      </c>
      <c r="N54" s="28" t="s">
        <v>146</v>
      </c>
      <c r="O54" s="28">
        <v>700</v>
      </c>
      <c r="P54" s="28">
        <v>-4</v>
      </c>
      <c r="Q54" s="28">
        <v>700</v>
      </c>
      <c r="R54" s="28">
        <v>100</v>
      </c>
      <c r="S54" s="28">
        <v>0</v>
      </c>
    </row>
    <row r="55" spans="2:19" x14ac:dyDescent="0.25">
      <c r="C55" s="27" t="s">
        <v>187</v>
      </c>
      <c r="D55" s="27" t="s">
        <v>121</v>
      </c>
      <c r="E55" s="27">
        <v>900</v>
      </c>
      <c r="F55" s="27" t="s">
        <v>220</v>
      </c>
      <c r="G55" s="27" t="s">
        <v>48</v>
      </c>
      <c r="H55" s="27">
        <v>0</v>
      </c>
    </row>
    <row r="56" spans="2:19" x14ac:dyDescent="0.25">
      <c r="C56" s="27" t="s">
        <v>189</v>
      </c>
      <c r="D56" s="27" t="s">
        <v>121</v>
      </c>
      <c r="E56" s="27">
        <v>800</v>
      </c>
      <c r="F56" s="27" t="s">
        <v>221</v>
      </c>
      <c r="G56" s="27" t="s">
        <v>48</v>
      </c>
      <c r="H56" s="27">
        <v>0</v>
      </c>
    </row>
    <row r="57" spans="2:19" x14ac:dyDescent="0.25">
      <c r="C57" s="27" t="s">
        <v>191</v>
      </c>
      <c r="D57" s="27" t="s">
        <v>121</v>
      </c>
      <c r="E57" s="27">
        <v>500</v>
      </c>
      <c r="F57" s="27" t="s">
        <v>222</v>
      </c>
      <c r="G57" s="27" t="s">
        <v>48</v>
      </c>
      <c r="H57" s="27">
        <v>0</v>
      </c>
    </row>
    <row r="58" spans="2:19" x14ac:dyDescent="0.25">
      <c r="C58" s="27" t="s">
        <v>223</v>
      </c>
      <c r="D58" s="27" t="s">
        <v>137</v>
      </c>
      <c r="E58" s="27">
        <v>700</v>
      </c>
      <c r="F58" s="27" t="s">
        <v>224</v>
      </c>
      <c r="G58" s="27" t="s">
        <v>48</v>
      </c>
      <c r="H58" s="27">
        <v>0</v>
      </c>
    </row>
    <row r="59" spans="2:19" x14ac:dyDescent="0.25">
      <c r="C59" s="27" t="s">
        <v>225</v>
      </c>
      <c r="D59" s="27" t="s">
        <v>140</v>
      </c>
      <c r="E59" s="27">
        <v>700</v>
      </c>
      <c r="F59" s="27" t="s">
        <v>226</v>
      </c>
      <c r="G59" s="27" t="s">
        <v>48</v>
      </c>
      <c r="H59" s="27">
        <v>0</v>
      </c>
    </row>
    <row r="60" spans="2:19" x14ac:dyDescent="0.25">
      <c r="C60" s="27" t="s">
        <v>227</v>
      </c>
      <c r="D60" s="27" t="s">
        <v>228</v>
      </c>
      <c r="E60" s="27">
        <v>200</v>
      </c>
      <c r="F60" s="27" t="s">
        <v>229</v>
      </c>
      <c r="G60" s="27" t="s">
        <v>48</v>
      </c>
      <c r="H60" s="27">
        <v>0</v>
      </c>
    </row>
    <row r="61" spans="2:19" x14ac:dyDescent="0.25">
      <c r="C61" s="27" t="s">
        <v>136</v>
      </c>
      <c r="D61" s="27" t="s">
        <v>143</v>
      </c>
      <c r="E61" s="27">
        <v>700</v>
      </c>
      <c r="F61" s="27" t="s">
        <v>138</v>
      </c>
      <c r="G61" s="27" t="s">
        <v>48</v>
      </c>
      <c r="H61" s="27">
        <v>0</v>
      </c>
    </row>
    <row r="62" spans="2:19" x14ac:dyDescent="0.25">
      <c r="C62" s="27" t="s">
        <v>139</v>
      </c>
      <c r="D62" s="27" t="s">
        <v>230</v>
      </c>
      <c r="E62" s="27">
        <v>200</v>
      </c>
      <c r="F62" s="27" t="s">
        <v>141</v>
      </c>
      <c r="G62" s="27" t="s">
        <v>48</v>
      </c>
      <c r="H62" s="27">
        <v>0</v>
      </c>
    </row>
    <row r="63" spans="2:19" ht="14.4" thickBot="1" x14ac:dyDescent="0.3">
      <c r="C63" s="28" t="s">
        <v>142</v>
      </c>
      <c r="D63" s="28" t="s">
        <v>146</v>
      </c>
      <c r="E63" s="28">
        <v>700</v>
      </c>
      <c r="F63" s="28" t="s">
        <v>144</v>
      </c>
      <c r="G63" s="28" t="s">
        <v>48</v>
      </c>
      <c r="H63" s="28">
        <v>0</v>
      </c>
    </row>
  </sheetData>
  <pageMargins left="0.25" right="0.25" top="0.75" bottom="0.75" header="0.3" footer="0.3"/>
  <pageSetup paperSize="9" scale="5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74F6-5D52-4E35-AD84-FCC87061A7E4}">
  <sheetPr>
    <tabColor theme="5" tint="-0.249977111117893"/>
    <pageSetUpPr fitToPage="1"/>
  </sheetPr>
  <dimension ref="B2:K20"/>
  <sheetViews>
    <sheetView view="pageBreakPreview" topLeftCell="H1" zoomScale="97" zoomScaleNormal="100" workbookViewId="0">
      <selection activeCell="K7" sqref="K7"/>
    </sheetView>
  </sheetViews>
  <sheetFormatPr defaultRowHeight="14.4" x14ac:dyDescent="0.3"/>
  <cols>
    <col min="2" max="2" width="10.44140625" customWidth="1"/>
    <col min="3" max="3" width="8.44140625" customWidth="1"/>
    <col min="8" max="8" width="9.88671875" bestFit="1" customWidth="1"/>
    <col min="9" max="9" width="14" bestFit="1" customWidth="1"/>
  </cols>
  <sheetData>
    <row r="2" spans="2:11" x14ac:dyDescent="0.3"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3" t="s">
        <v>116</v>
      </c>
      <c r="I2" s="6" t="s">
        <v>123</v>
      </c>
      <c r="J2" s="7"/>
      <c r="K2" s="7"/>
    </row>
    <row r="3" spans="2:11" x14ac:dyDescent="0.3">
      <c r="B3" s="2" t="s">
        <v>117</v>
      </c>
      <c r="C3" s="8">
        <v>10</v>
      </c>
      <c r="D3" s="8">
        <v>13</v>
      </c>
      <c r="E3" s="8">
        <v>16</v>
      </c>
      <c r="F3" s="8">
        <v>19</v>
      </c>
      <c r="G3" s="8">
        <v>0</v>
      </c>
      <c r="H3" s="4">
        <v>700</v>
      </c>
      <c r="I3" s="11" t="s">
        <v>7</v>
      </c>
      <c r="J3" s="11" t="s">
        <v>122</v>
      </c>
      <c r="K3" s="11">
        <f>+SUMPRODUCT(C3:G8,C12:G17)</f>
        <v>36100</v>
      </c>
    </row>
    <row r="4" spans="2:11" x14ac:dyDescent="0.3">
      <c r="B4" s="2" t="s">
        <v>118</v>
      </c>
      <c r="C4" s="8">
        <v>9999</v>
      </c>
      <c r="D4" s="8">
        <v>10</v>
      </c>
      <c r="E4" s="8">
        <v>13</v>
      </c>
      <c r="F4" s="8">
        <v>16</v>
      </c>
      <c r="G4" s="8">
        <v>0</v>
      </c>
      <c r="H4" s="4">
        <v>700</v>
      </c>
    </row>
    <row r="5" spans="2:11" ht="16.2" x14ac:dyDescent="0.3">
      <c r="B5" s="2" t="s">
        <v>194</v>
      </c>
      <c r="C5" s="8">
        <v>9999</v>
      </c>
      <c r="D5" s="8">
        <v>15</v>
      </c>
      <c r="E5" s="8">
        <v>18</v>
      </c>
      <c r="F5" s="8">
        <v>21</v>
      </c>
      <c r="G5" s="8">
        <v>0</v>
      </c>
      <c r="H5" s="4">
        <v>200</v>
      </c>
    </row>
    <row r="6" spans="2:11" x14ac:dyDescent="0.3">
      <c r="B6" s="2" t="s">
        <v>119</v>
      </c>
      <c r="C6" s="8">
        <v>9999</v>
      </c>
      <c r="D6" s="8">
        <v>9999</v>
      </c>
      <c r="E6" s="8">
        <v>15</v>
      </c>
      <c r="F6" s="8">
        <v>18</v>
      </c>
      <c r="G6" s="8">
        <v>0</v>
      </c>
      <c r="H6" s="4">
        <v>700</v>
      </c>
    </row>
    <row r="7" spans="2:11" ht="16.2" x14ac:dyDescent="0.3">
      <c r="B7" s="2" t="s">
        <v>195</v>
      </c>
      <c r="C7" s="8">
        <v>9999</v>
      </c>
      <c r="D7" s="8">
        <v>9999</v>
      </c>
      <c r="E7" s="8">
        <v>9999</v>
      </c>
      <c r="F7" s="8">
        <v>23</v>
      </c>
      <c r="G7" s="8">
        <v>0</v>
      </c>
      <c r="H7" s="4">
        <v>200</v>
      </c>
    </row>
    <row r="8" spans="2:11" x14ac:dyDescent="0.3">
      <c r="B8" s="12" t="s">
        <v>120</v>
      </c>
      <c r="C8" s="8">
        <v>9999</v>
      </c>
      <c r="D8" s="8">
        <v>9999</v>
      </c>
      <c r="E8" s="8">
        <v>9999</v>
      </c>
      <c r="F8" s="8">
        <v>15</v>
      </c>
      <c r="G8" s="8">
        <v>0</v>
      </c>
      <c r="H8" s="14">
        <v>700</v>
      </c>
    </row>
    <row r="9" spans="2:11" x14ac:dyDescent="0.3">
      <c r="B9" s="5" t="s">
        <v>121</v>
      </c>
      <c r="C9" s="4">
        <v>300</v>
      </c>
      <c r="D9" s="4">
        <v>700</v>
      </c>
      <c r="E9" s="4">
        <v>900</v>
      </c>
      <c r="F9" s="4">
        <v>800</v>
      </c>
      <c r="G9" s="4">
        <v>500</v>
      </c>
      <c r="H9" s="4">
        <v>3200</v>
      </c>
    </row>
    <row r="11" spans="2:11" x14ac:dyDescent="0.3">
      <c r="B11" s="1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3" t="s">
        <v>116</v>
      </c>
    </row>
    <row r="12" spans="2:11" x14ac:dyDescent="0.3">
      <c r="B12" s="2" t="s">
        <v>117</v>
      </c>
      <c r="C12" s="8">
        <v>300</v>
      </c>
      <c r="D12" s="8">
        <v>300</v>
      </c>
      <c r="E12" s="8">
        <v>0</v>
      </c>
      <c r="F12" s="8">
        <v>0</v>
      </c>
      <c r="G12" s="8">
        <v>100</v>
      </c>
      <c r="H12" s="4">
        <f>SUM(C12:G12)</f>
        <v>700</v>
      </c>
      <c r="I12" s="10" t="s">
        <v>8</v>
      </c>
      <c r="J12" s="4">
        <v>700</v>
      </c>
    </row>
    <row r="13" spans="2:11" x14ac:dyDescent="0.3">
      <c r="B13" s="2" t="s">
        <v>118</v>
      </c>
      <c r="C13" s="8">
        <v>0</v>
      </c>
      <c r="D13" s="8">
        <v>400</v>
      </c>
      <c r="E13" s="8">
        <v>300</v>
      </c>
      <c r="F13" s="8">
        <v>0</v>
      </c>
      <c r="G13" s="8">
        <v>0</v>
      </c>
      <c r="H13" s="4">
        <f t="shared" ref="H13:H17" si="0">SUM(C13:G13)</f>
        <v>700</v>
      </c>
      <c r="I13" s="10" t="s">
        <v>8</v>
      </c>
      <c r="J13" s="4">
        <v>700</v>
      </c>
    </row>
    <row r="14" spans="2:11" ht="16.2" x14ac:dyDescent="0.3">
      <c r="B14" s="2" t="s">
        <v>194</v>
      </c>
      <c r="C14" s="8">
        <v>0</v>
      </c>
      <c r="D14" s="8">
        <v>0</v>
      </c>
      <c r="E14" s="8">
        <v>0</v>
      </c>
      <c r="F14" s="8">
        <v>0</v>
      </c>
      <c r="G14" s="8">
        <v>200</v>
      </c>
      <c r="H14" s="4">
        <f t="shared" si="0"/>
        <v>200</v>
      </c>
      <c r="I14" s="10" t="s">
        <v>8</v>
      </c>
      <c r="J14" s="4">
        <v>200</v>
      </c>
    </row>
    <row r="15" spans="2:11" x14ac:dyDescent="0.3">
      <c r="B15" s="2" t="s">
        <v>119</v>
      </c>
      <c r="C15" s="8">
        <v>0</v>
      </c>
      <c r="D15" s="8">
        <v>0</v>
      </c>
      <c r="E15" s="8">
        <v>600</v>
      </c>
      <c r="F15" s="8">
        <v>100</v>
      </c>
      <c r="G15" s="8">
        <v>0</v>
      </c>
      <c r="H15" s="4">
        <f t="shared" si="0"/>
        <v>700</v>
      </c>
      <c r="I15" s="10" t="s">
        <v>8</v>
      </c>
      <c r="J15" s="4">
        <v>700</v>
      </c>
    </row>
    <row r="16" spans="2:11" ht="16.2" x14ac:dyDescent="0.3">
      <c r="B16" s="2" t="s">
        <v>195</v>
      </c>
      <c r="C16" s="13">
        <v>0</v>
      </c>
      <c r="D16" s="13">
        <v>0</v>
      </c>
      <c r="E16" s="8">
        <v>0</v>
      </c>
      <c r="F16" s="8">
        <v>0</v>
      </c>
      <c r="G16" s="8">
        <v>200</v>
      </c>
      <c r="H16" s="4">
        <f t="shared" si="0"/>
        <v>200</v>
      </c>
      <c r="I16" s="10" t="s">
        <v>8</v>
      </c>
      <c r="J16" s="4">
        <v>200</v>
      </c>
    </row>
    <row r="17" spans="2:10" x14ac:dyDescent="0.3">
      <c r="B17" s="12" t="s">
        <v>120</v>
      </c>
      <c r="C17" s="8">
        <v>0</v>
      </c>
      <c r="D17" s="8">
        <v>0</v>
      </c>
      <c r="E17" s="8">
        <v>0</v>
      </c>
      <c r="F17" s="8">
        <v>700</v>
      </c>
      <c r="G17" s="8">
        <v>0</v>
      </c>
      <c r="H17" s="4">
        <f t="shared" si="0"/>
        <v>700</v>
      </c>
      <c r="I17" s="10" t="s">
        <v>8</v>
      </c>
      <c r="J17" s="14">
        <v>700</v>
      </c>
    </row>
    <row r="18" spans="2:10" x14ac:dyDescent="0.3">
      <c r="B18" s="5" t="s">
        <v>121</v>
      </c>
      <c r="C18" s="4">
        <f>SUM(C12:C17)</f>
        <v>300</v>
      </c>
      <c r="D18" s="4">
        <f t="shared" ref="D18:G18" si="1">SUM(D12:D17)</f>
        <v>700</v>
      </c>
      <c r="E18" s="4">
        <f t="shared" si="1"/>
        <v>900</v>
      </c>
      <c r="F18" s="4">
        <f t="shared" si="1"/>
        <v>800</v>
      </c>
      <c r="G18" s="4">
        <f t="shared" si="1"/>
        <v>500</v>
      </c>
      <c r="H18" s="4">
        <v>3200</v>
      </c>
    </row>
    <row r="19" spans="2:10" x14ac:dyDescent="0.3">
      <c r="C19" s="9" t="s">
        <v>122</v>
      </c>
      <c r="D19" s="9" t="s">
        <v>122</v>
      </c>
      <c r="E19" s="9" t="s">
        <v>122</v>
      </c>
      <c r="F19" s="9" t="s">
        <v>122</v>
      </c>
      <c r="G19" s="9" t="s">
        <v>122</v>
      </c>
    </row>
    <row r="20" spans="2:10" x14ac:dyDescent="0.3">
      <c r="C20" s="4">
        <v>300</v>
      </c>
      <c r="D20" s="4">
        <v>700</v>
      </c>
      <c r="E20" s="4">
        <v>900</v>
      </c>
      <c r="F20" s="4">
        <v>800</v>
      </c>
      <c r="G20" s="4">
        <v>500</v>
      </c>
    </row>
  </sheetData>
  <pageMargins left="0.25" right="0.25" top="0.75" bottom="0.75" header="0.3" footer="0.3"/>
  <pageSetup paperSize="9" fitToWidth="4" fitToHeight="0" orientation="landscape" r:id="rId1"/>
  <ignoredErrors>
    <ignoredError sqref="C18:G18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BC4F-2DC8-440F-ACA1-6EE9360637D6}">
  <sheetPr>
    <tabColor theme="5" tint="-0.249977111117893"/>
    <pageSetUpPr fitToPage="1"/>
  </sheetPr>
  <dimension ref="B2:R54"/>
  <sheetViews>
    <sheetView showGridLines="0" zoomScale="120" zoomScaleNormal="63" workbookViewId="0">
      <selection activeCell="C6" sqref="C6"/>
    </sheetView>
  </sheetViews>
  <sheetFormatPr defaultRowHeight="13.8" x14ac:dyDescent="0.25"/>
  <cols>
    <col min="1" max="1" width="8.88671875" style="24"/>
    <col min="2" max="2" width="2.33203125" style="24" customWidth="1"/>
    <col min="3" max="3" width="7.44140625" style="24" customWidth="1"/>
    <col min="4" max="4" width="19.5546875" style="24" bestFit="1" customWidth="1"/>
    <col min="5" max="5" width="18.21875" style="24" bestFit="1" customWidth="1"/>
    <col min="6" max="6" width="14.5546875" style="24" bestFit="1" customWidth="1"/>
    <col min="7" max="7" width="9.5546875" style="24" bestFit="1" customWidth="1"/>
    <col min="8" max="8" width="7.88671875" style="24" bestFit="1" customWidth="1"/>
    <col min="9" max="9" width="8.88671875" style="24"/>
    <col min="10" max="10" width="13.88671875" style="24" customWidth="1"/>
    <col min="11" max="11" width="2.33203125" style="24" customWidth="1"/>
    <col min="12" max="12" width="7.5546875" style="24" customWidth="1"/>
    <col min="13" max="13" width="19.5546875" style="24" bestFit="1" customWidth="1"/>
    <col min="14" max="14" width="8.109375" style="24" bestFit="1" customWidth="1"/>
    <col min="15" max="15" width="11.5546875" style="24" bestFit="1" customWidth="1"/>
    <col min="16" max="16" width="14" style="24" customWidth="1"/>
    <col min="17" max="18" width="12.5546875" style="24" bestFit="1" customWidth="1"/>
    <col min="19" max="16384" width="8.88671875" style="24"/>
  </cols>
  <sheetData>
    <row r="2" spans="2:18" x14ac:dyDescent="0.25">
      <c r="B2" s="23" t="s">
        <v>12</v>
      </c>
      <c r="K2" s="23" t="s">
        <v>50</v>
      </c>
    </row>
    <row r="3" spans="2:18" x14ac:dyDescent="0.25">
      <c r="B3" s="23" t="s">
        <v>239</v>
      </c>
      <c r="D3" s="23" t="s">
        <v>367</v>
      </c>
      <c r="K3" s="23" t="s">
        <v>239</v>
      </c>
      <c r="M3" s="23" t="s">
        <v>367</v>
      </c>
    </row>
    <row r="4" spans="2:18" x14ac:dyDescent="0.25">
      <c r="B4" s="23" t="s">
        <v>240</v>
      </c>
      <c r="K4" s="23" t="s">
        <v>240</v>
      </c>
    </row>
    <row r="5" spans="2:18" x14ac:dyDescent="0.25">
      <c r="B5" s="23" t="s">
        <v>13</v>
      </c>
    </row>
    <row r="6" spans="2:18" x14ac:dyDescent="0.25">
      <c r="B6" s="23" t="s">
        <v>14</v>
      </c>
    </row>
    <row r="7" spans="2:18" x14ac:dyDescent="0.25">
      <c r="B7" s="23"/>
      <c r="C7" s="24" t="s">
        <v>15</v>
      </c>
      <c r="K7" s="24" t="s">
        <v>25</v>
      </c>
    </row>
    <row r="8" spans="2:18" x14ac:dyDescent="0.25">
      <c r="B8" s="23"/>
      <c r="C8" s="24" t="s">
        <v>91</v>
      </c>
      <c r="L8" s="31"/>
      <c r="M8" s="31"/>
      <c r="N8" s="31" t="s">
        <v>51</v>
      </c>
      <c r="O8" s="31" t="s">
        <v>53</v>
      </c>
      <c r="P8" s="31" t="s">
        <v>55</v>
      </c>
      <c r="Q8" s="31" t="s">
        <v>57</v>
      </c>
      <c r="R8" s="31" t="s">
        <v>57</v>
      </c>
    </row>
    <row r="9" spans="2:18" x14ac:dyDescent="0.25">
      <c r="B9" s="23"/>
      <c r="C9" s="24" t="s">
        <v>241</v>
      </c>
      <c r="L9" s="31" t="s">
        <v>21</v>
      </c>
      <c r="M9" s="31" t="s">
        <v>22</v>
      </c>
      <c r="N9" s="31" t="s">
        <v>52</v>
      </c>
      <c r="O9" s="31" t="s">
        <v>54</v>
      </c>
      <c r="P9" s="31" t="s">
        <v>56</v>
      </c>
      <c r="Q9" s="31" t="s">
        <v>58</v>
      </c>
      <c r="R9" s="31" t="s">
        <v>59</v>
      </c>
    </row>
    <row r="10" spans="2:18" x14ac:dyDescent="0.25">
      <c r="B10" s="23" t="s">
        <v>17</v>
      </c>
      <c r="L10" s="32" t="s">
        <v>243</v>
      </c>
      <c r="M10" s="32" t="s">
        <v>244</v>
      </c>
      <c r="N10" s="32">
        <v>50</v>
      </c>
      <c r="O10" s="32">
        <v>0</v>
      </c>
      <c r="P10" s="32">
        <v>12</v>
      </c>
      <c r="Q10" s="32">
        <v>0</v>
      </c>
      <c r="R10" s="32">
        <v>1E+30</v>
      </c>
    </row>
    <row r="11" spans="2:18" x14ac:dyDescent="0.25">
      <c r="C11" s="24" t="s">
        <v>68</v>
      </c>
      <c r="L11" s="32" t="s">
        <v>245</v>
      </c>
      <c r="M11" s="32" t="s">
        <v>246</v>
      </c>
      <c r="N11" s="32">
        <v>0</v>
      </c>
      <c r="O11" s="32">
        <v>0</v>
      </c>
      <c r="P11" s="32">
        <v>14</v>
      </c>
      <c r="Q11" s="32">
        <v>1E+30</v>
      </c>
      <c r="R11" s="32">
        <v>0</v>
      </c>
    </row>
    <row r="12" spans="2:18" x14ac:dyDescent="0.25">
      <c r="C12" s="24" t="s">
        <v>19</v>
      </c>
      <c r="L12" s="32" t="s">
        <v>247</v>
      </c>
      <c r="M12" s="32" t="s">
        <v>248</v>
      </c>
      <c r="N12" s="32">
        <v>0</v>
      </c>
      <c r="O12" s="32">
        <v>6</v>
      </c>
      <c r="P12" s="32">
        <v>16</v>
      </c>
      <c r="Q12" s="32">
        <v>1E+30</v>
      </c>
      <c r="R12" s="32">
        <v>6</v>
      </c>
    </row>
    <row r="13" spans="2:18" x14ac:dyDescent="0.25">
      <c r="L13" s="32" t="s">
        <v>34</v>
      </c>
      <c r="M13" s="32" t="s">
        <v>249</v>
      </c>
      <c r="N13" s="32">
        <v>0</v>
      </c>
      <c r="O13" s="32">
        <v>14</v>
      </c>
      <c r="P13" s="32">
        <v>0</v>
      </c>
      <c r="Q13" s="32">
        <v>1E+30</v>
      </c>
      <c r="R13" s="32">
        <v>14</v>
      </c>
    </row>
    <row r="14" spans="2:18" x14ac:dyDescent="0.25">
      <c r="L14" s="32" t="s">
        <v>201</v>
      </c>
      <c r="M14" s="32" t="s">
        <v>250</v>
      </c>
      <c r="N14" s="32">
        <v>10</v>
      </c>
      <c r="O14" s="32">
        <v>0</v>
      </c>
      <c r="P14" s="32">
        <v>24</v>
      </c>
      <c r="Q14" s="32">
        <v>6</v>
      </c>
      <c r="R14" s="32">
        <v>0</v>
      </c>
    </row>
    <row r="15" spans="2:18" x14ac:dyDescent="0.25">
      <c r="B15" s="24" t="s">
        <v>93</v>
      </c>
      <c r="L15" s="32" t="s">
        <v>202</v>
      </c>
      <c r="M15" s="32" t="s">
        <v>251</v>
      </c>
      <c r="N15" s="32">
        <v>20</v>
      </c>
      <c r="O15" s="32">
        <v>0</v>
      </c>
      <c r="P15" s="32">
        <v>26</v>
      </c>
      <c r="Q15" s="32">
        <v>0</v>
      </c>
      <c r="R15" s="32">
        <v>6</v>
      </c>
    </row>
    <row r="16" spans="2:18" x14ac:dyDescent="0.25">
      <c r="C16" s="31" t="s">
        <v>21</v>
      </c>
      <c r="D16" s="31" t="s">
        <v>22</v>
      </c>
      <c r="E16" s="31" t="s">
        <v>23</v>
      </c>
      <c r="F16" s="31" t="s">
        <v>24</v>
      </c>
      <c r="L16" s="32" t="s">
        <v>203</v>
      </c>
      <c r="M16" s="32" t="s">
        <v>252</v>
      </c>
      <c r="N16" s="32">
        <v>0</v>
      </c>
      <c r="O16" s="32">
        <v>6</v>
      </c>
      <c r="P16" s="32">
        <v>28</v>
      </c>
      <c r="Q16" s="32">
        <v>1E+30</v>
      </c>
      <c r="R16" s="32">
        <v>6</v>
      </c>
    </row>
    <row r="17" spans="2:18" x14ac:dyDescent="0.25">
      <c r="C17" s="32" t="s">
        <v>242</v>
      </c>
      <c r="D17" s="35" t="s">
        <v>122</v>
      </c>
      <c r="E17" s="32">
        <v>3600</v>
      </c>
      <c r="F17" s="32">
        <v>3600</v>
      </c>
      <c r="L17" s="32" t="s">
        <v>204</v>
      </c>
      <c r="M17" s="32" t="s">
        <v>253</v>
      </c>
      <c r="N17" s="32">
        <v>0</v>
      </c>
      <c r="O17" s="32">
        <v>2</v>
      </c>
      <c r="P17" s="32">
        <v>0</v>
      </c>
      <c r="Q17" s="32">
        <v>1E+30</v>
      </c>
      <c r="R17" s="32">
        <v>2</v>
      </c>
    </row>
    <row r="18" spans="2:18" x14ac:dyDescent="0.25">
      <c r="L18" s="32" t="s">
        <v>206</v>
      </c>
      <c r="M18" s="32" t="s">
        <v>254</v>
      </c>
      <c r="N18" s="32">
        <v>0</v>
      </c>
      <c r="O18" s="32">
        <v>6</v>
      </c>
      <c r="P18" s="32">
        <v>16</v>
      </c>
      <c r="Q18" s="32">
        <v>1E+30</v>
      </c>
      <c r="R18" s="32">
        <v>6</v>
      </c>
    </row>
    <row r="19" spans="2:18" x14ac:dyDescent="0.25">
      <c r="L19" s="32" t="s">
        <v>207</v>
      </c>
      <c r="M19" s="32" t="s">
        <v>255</v>
      </c>
      <c r="N19" s="32">
        <v>50</v>
      </c>
      <c r="O19" s="32">
        <v>0</v>
      </c>
      <c r="P19" s="32">
        <v>12</v>
      </c>
      <c r="Q19" s="32">
        <v>6</v>
      </c>
      <c r="R19" s="32">
        <v>1E+30</v>
      </c>
    </row>
    <row r="20" spans="2:18" x14ac:dyDescent="0.25">
      <c r="B20" s="24" t="s">
        <v>25</v>
      </c>
      <c r="L20" s="32" t="s">
        <v>208</v>
      </c>
      <c r="M20" s="32" t="s">
        <v>256</v>
      </c>
      <c r="N20" s="32">
        <v>0</v>
      </c>
      <c r="O20" s="32">
        <v>6</v>
      </c>
      <c r="P20" s="32">
        <v>14</v>
      </c>
      <c r="Q20" s="32">
        <v>1E+30</v>
      </c>
      <c r="R20" s="32">
        <v>6</v>
      </c>
    </row>
    <row r="21" spans="2:18" x14ac:dyDescent="0.25">
      <c r="C21" s="31" t="s">
        <v>21</v>
      </c>
      <c r="D21" s="31" t="s">
        <v>22</v>
      </c>
      <c r="E21" s="31" t="s">
        <v>23</v>
      </c>
      <c r="F21" s="31" t="s">
        <v>24</v>
      </c>
      <c r="G21" s="31" t="s">
        <v>26</v>
      </c>
      <c r="L21" s="32" t="s">
        <v>209</v>
      </c>
      <c r="M21" s="32" t="s">
        <v>257</v>
      </c>
      <c r="N21" s="32">
        <v>0</v>
      </c>
      <c r="O21" s="32">
        <v>16</v>
      </c>
      <c r="P21" s="32">
        <v>0</v>
      </c>
      <c r="Q21" s="32">
        <v>1E+30</v>
      </c>
      <c r="R21" s="32">
        <v>16</v>
      </c>
    </row>
    <row r="22" spans="2:18" x14ac:dyDescent="0.25">
      <c r="C22" s="32" t="s">
        <v>243</v>
      </c>
      <c r="D22" s="32" t="s">
        <v>244</v>
      </c>
      <c r="E22" s="32">
        <v>50</v>
      </c>
      <c r="F22" s="32">
        <v>50</v>
      </c>
      <c r="G22" s="32" t="s">
        <v>35</v>
      </c>
      <c r="L22" s="32" t="s">
        <v>211</v>
      </c>
      <c r="M22" s="32" t="s">
        <v>258</v>
      </c>
      <c r="N22" s="32">
        <v>0</v>
      </c>
      <c r="O22" s="32">
        <v>6</v>
      </c>
      <c r="P22" s="32">
        <v>20</v>
      </c>
      <c r="Q22" s="32">
        <v>1E+30</v>
      </c>
      <c r="R22" s="32">
        <v>6</v>
      </c>
    </row>
    <row r="23" spans="2:18" x14ac:dyDescent="0.25">
      <c r="C23" s="32" t="s">
        <v>245</v>
      </c>
      <c r="D23" s="32" t="s">
        <v>246</v>
      </c>
      <c r="E23" s="32">
        <v>0</v>
      </c>
      <c r="F23" s="32">
        <v>0</v>
      </c>
      <c r="G23" s="32" t="s">
        <v>35</v>
      </c>
      <c r="L23" s="32" t="s">
        <v>213</v>
      </c>
      <c r="M23" s="32" t="s">
        <v>259</v>
      </c>
      <c r="N23" s="32">
        <v>20</v>
      </c>
      <c r="O23" s="32">
        <v>0</v>
      </c>
      <c r="P23" s="32">
        <v>16</v>
      </c>
      <c r="Q23" s="32">
        <v>6</v>
      </c>
      <c r="R23" s="32">
        <v>0</v>
      </c>
    </row>
    <row r="24" spans="2:18" x14ac:dyDescent="0.25">
      <c r="C24" s="32" t="s">
        <v>247</v>
      </c>
      <c r="D24" s="32" t="s">
        <v>248</v>
      </c>
      <c r="E24" s="32">
        <v>0</v>
      </c>
      <c r="F24" s="32">
        <v>0</v>
      </c>
      <c r="G24" s="32" t="s">
        <v>35</v>
      </c>
      <c r="L24" s="32" t="s">
        <v>214</v>
      </c>
      <c r="M24" s="32" t="s">
        <v>260</v>
      </c>
      <c r="N24" s="32">
        <v>40</v>
      </c>
      <c r="O24" s="32">
        <v>0</v>
      </c>
      <c r="P24" s="32">
        <v>12</v>
      </c>
      <c r="Q24" s="32">
        <v>0</v>
      </c>
      <c r="R24" s="32">
        <v>1E+30</v>
      </c>
    </row>
    <row r="25" spans="2:18" x14ac:dyDescent="0.25">
      <c r="C25" s="32" t="s">
        <v>34</v>
      </c>
      <c r="D25" s="32" t="s">
        <v>249</v>
      </c>
      <c r="E25" s="32">
        <v>0</v>
      </c>
      <c r="F25" s="32">
        <v>0</v>
      </c>
      <c r="G25" s="32" t="s">
        <v>35</v>
      </c>
      <c r="L25" s="32" t="s">
        <v>215</v>
      </c>
      <c r="M25" s="32" t="s">
        <v>261</v>
      </c>
      <c r="N25" s="32">
        <v>0</v>
      </c>
      <c r="O25" s="32">
        <v>12</v>
      </c>
      <c r="P25" s="32">
        <v>0</v>
      </c>
      <c r="Q25" s="32">
        <v>1E+30</v>
      </c>
      <c r="R25" s="32">
        <v>12</v>
      </c>
    </row>
    <row r="26" spans="2:18" x14ac:dyDescent="0.25">
      <c r="C26" s="32" t="s">
        <v>201</v>
      </c>
      <c r="D26" s="32" t="s">
        <v>250</v>
      </c>
      <c r="E26" s="32">
        <v>10</v>
      </c>
      <c r="F26" s="32">
        <v>10</v>
      </c>
      <c r="G26" s="32" t="s">
        <v>35</v>
      </c>
      <c r="L26" s="32" t="s">
        <v>153</v>
      </c>
      <c r="M26" s="32" t="s">
        <v>262</v>
      </c>
      <c r="N26" s="32">
        <v>0</v>
      </c>
      <c r="O26" s="32">
        <v>6</v>
      </c>
      <c r="P26" s="32">
        <v>32</v>
      </c>
      <c r="Q26" s="32">
        <v>1E+30</v>
      </c>
      <c r="R26" s="32">
        <v>6</v>
      </c>
    </row>
    <row r="27" spans="2:18" x14ac:dyDescent="0.25">
      <c r="C27" s="32" t="s">
        <v>202</v>
      </c>
      <c r="D27" s="32" t="s">
        <v>251</v>
      </c>
      <c r="E27" s="32">
        <v>20</v>
      </c>
      <c r="F27" s="32">
        <v>20</v>
      </c>
      <c r="G27" s="32" t="s">
        <v>35</v>
      </c>
      <c r="L27" s="32" t="s">
        <v>155</v>
      </c>
      <c r="M27" s="32" t="s">
        <v>263</v>
      </c>
      <c r="N27" s="32">
        <v>30</v>
      </c>
      <c r="O27" s="32">
        <v>0</v>
      </c>
      <c r="P27" s="32">
        <v>28</v>
      </c>
      <c r="Q27" s="32">
        <v>0</v>
      </c>
      <c r="R27" s="32">
        <v>2</v>
      </c>
    </row>
    <row r="28" spans="2:18" x14ac:dyDescent="0.25">
      <c r="C28" s="32" t="s">
        <v>203</v>
      </c>
      <c r="D28" s="32" t="s">
        <v>252</v>
      </c>
      <c r="E28" s="32">
        <v>0</v>
      </c>
      <c r="F28" s="32">
        <v>0</v>
      </c>
      <c r="G28" s="32" t="s">
        <v>35</v>
      </c>
      <c r="L28" s="32" t="s">
        <v>157</v>
      </c>
      <c r="M28" s="32" t="s">
        <v>264</v>
      </c>
      <c r="N28" s="32">
        <v>0</v>
      </c>
      <c r="O28" s="32">
        <v>0</v>
      </c>
      <c r="P28" s="32">
        <v>24</v>
      </c>
      <c r="Q28" s="32">
        <v>1E+30</v>
      </c>
      <c r="R28" s="32">
        <v>0</v>
      </c>
    </row>
    <row r="29" spans="2:18" x14ac:dyDescent="0.25">
      <c r="C29" s="32" t="s">
        <v>204</v>
      </c>
      <c r="D29" s="32" t="s">
        <v>253</v>
      </c>
      <c r="E29" s="32">
        <v>0</v>
      </c>
      <c r="F29" s="32">
        <v>0</v>
      </c>
      <c r="G29" s="32" t="s">
        <v>35</v>
      </c>
      <c r="L29" s="32" t="s">
        <v>159</v>
      </c>
      <c r="M29" s="32" t="s">
        <v>265</v>
      </c>
      <c r="N29" s="32">
        <v>20</v>
      </c>
      <c r="O29" s="32">
        <v>0</v>
      </c>
      <c r="P29" s="32">
        <v>0</v>
      </c>
      <c r="Q29" s="32">
        <v>2</v>
      </c>
      <c r="R29" s="32">
        <v>1E+30</v>
      </c>
    </row>
    <row r="30" spans="2:18" x14ac:dyDescent="0.25">
      <c r="C30" s="32" t="s">
        <v>206</v>
      </c>
      <c r="D30" s="32" t="s">
        <v>254</v>
      </c>
      <c r="E30" s="32">
        <v>0</v>
      </c>
      <c r="F30" s="32">
        <v>0</v>
      </c>
      <c r="G30" s="32" t="s">
        <v>35</v>
      </c>
    </row>
    <row r="31" spans="2:18" x14ac:dyDescent="0.25">
      <c r="C31" s="32" t="s">
        <v>207</v>
      </c>
      <c r="D31" s="32" t="s">
        <v>255</v>
      </c>
      <c r="E31" s="32">
        <v>50</v>
      </c>
      <c r="F31" s="32">
        <v>50</v>
      </c>
      <c r="G31" s="32" t="s">
        <v>35</v>
      </c>
      <c r="K31" s="24" t="s">
        <v>27</v>
      </c>
    </row>
    <row r="32" spans="2:18" x14ac:dyDescent="0.25">
      <c r="C32" s="32" t="s">
        <v>208</v>
      </c>
      <c r="D32" s="32" t="s">
        <v>256</v>
      </c>
      <c r="E32" s="32">
        <v>0</v>
      </c>
      <c r="F32" s="32">
        <v>0</v>
      </c>
      <c r="G32" s="32" t="s">
        <v>35</v>
      </c>
      <c r="L32" s="31"/>
      <c r="M32" s="31"/>
      <c r="N32" s="31" t="s">
        <v>51</v>
      </c>
      <c r="O32" s="31" t="s">
        <v>60</v>
      </c>
      <c r="P32" s="31" t="s">
        <v>62</v>
      </c>
      <c r="Q32" s="31" t="s">
        <v>57</v>
      </c>
      <c r="R32" s="31" t="s">
        <v>57</v>
      </c>
    </row>
    <row r="33" spans="2:18" x14ac:dyDescent="0.25">
      <c r="C33" s="32" t="s">
        <v>209</v>
      </c>
      <c r="D33" s="32" t="s">
        <v>257</v>
      </c>
      <c r="E33" s="32">
        <v>0</v>
      </c>
      <c r="F33" s="32">
        <v>0</v>
      </c>
      <c r="G33" s="32" t="s">
        <v>35</v>
      </c>
      <c r="L33" s="31" t="s">
        <v>21</v>
      </c>
      <c r="M33" s="31" t="s">
        <v>22</v>
      </c>
      <c r="N33" s="31" t="s">
        <v>52</v>
      </c>
      <c r="O33" s="31" t="s">
        <v>61</v>
      </c>
      <c r="P33" s="31" t="s">
        <v>63</v>
      </c>
      <c r="Q33" s="31" t="s">
        <v>58</v>
      </c>
      <c r="R33" s="31" t="s">
        <v>59</v>
      </c>
    </row>
    <row r="34" spans="2:18" x14ac:dyDescent="0.25">
      <c r="C34" s="32" t="s">
        <v>211</v>
      </c>
      <c r="D34" s="32" t="s">
        <v>258</v>
      </c>
      <c r="E34" s="32">
        <v>0</v>
      </c>
      <c r="F34" s="32">
        <v>0</v>
      </c>
      <c r="G34" s="32" t="s">
        <v>35</v>
      </c>
      <c r="L34" s="32" t="s">
        <v>163</v>
      </c>
      <c r="M34" s="32" t="s">
        <v>266</v>
      </c>
      <c r="N34" s="32">
        <v>60</v>
      </c>
      <c r="O34" s="32">
        <v>26</v>
      </c>
      <c r="P34" s="32">
        <v>60</v>
      </c>
      <c r="Q34" s="32">
        <v>0</v>
      </c>
      <c r="R34" s="32">
        <v>10</v>
      </c>
    </row>
    <row r="35" spans="2:18" x14ac:dyDescent="0.25">
      <c r="C35" s="32" t="s">
        <v>213</v>
      </c>
      <c r="D35" s="32" t="s">
        <v>259</v>
      </c>
      <c r="E35" s="32">
        <v>20</v>
      </c>
      <c r="F35" s="32">
        <v>20</v>
      </c>
      <c r="G35" s="32" t="s">
        <v>35</v>
      </c>
      <c r="L35" s="32" t="s">
        <v>165</v>
      </c>
      <c r="M35" s="32" t="s">
        <v>268</v>
      </c>
      <c r="N35" s="32">
        <v>120</v>
      </c>
      <c r="O35" s="32">
        <v>28</v>
      </c>
      <c r="P35" s="32">
        <v>120</v>
      </c>
      <c r="Q35" s="32">
        <v>0</v>
      </c>
      <c r="R35" s="32">
        <v>30</v>
      </c>
    </row>
    <row r="36" spans="2:18" x14ac:dyDescent="0.25">
      <c r="C36" s="32" t="s">
        <v>214</v>
      </c>
      <c r="D36" s="32" t="s">
        <v>260</v>
      </c>
      <c r="E36" s="32">
        <v>40</v>
      </c>
      <c r="F36" s="32">
        <v>40</v>
      </c>
      <c r="G36" s="32" t="s">
        <v>35</v>
      </c>
      <c r="L36" s="32" t="s">
        <v>167</v>
      </c>
      <c r="M36" s="32" t="s">
        <v>270</v>
      </c>
      <c r="N36" s="32">
        <v>40</v>
      </c>
      <c r="O36" s="32">
        <v>24</v>
      </c>
      <c r="P36" s="32">
        <v>40</v>
      </c>
      <c r="Q36" s="32">
        <v>0</v>
      </c>
      <c r="R36" s="32">
        <v>30</v>
      </c>
    </row>
    <row r="37" spans="2:18" x14ac:dyDescent="0.25">
      <c r="C37" s="32" t="s">
        <v>215</v>
      </c>
      <c r="D37" s="32" t="s">
        <v>261</v>
      </c>
      <c r="E37" s="32">
        <v>0</v>
      </c>
      <c r="F37" s="32">
        <v>0</v>
      </c>
      <c r="G37" s="32" t="s">
        <v>35</v>
      </c>
      <c r="L37" s="32" t="s">
        <v>169</v>
      </c>
      <c r="M37" s="32" t="s">
        <v>135</v>
      </c>
      <c r="N37" s="32">
        <v>20</v>
      </c>
      <c r="O37" s="32">
        <v>0</v>
      </c>
      <c r="P37" s="32">
        <v>20</v>
      </c>
      <c r="Q37" s="32">
        <v>0</v>
      </c>
      <c r="R37" s="32">
        <v>20</v>
      </c>
    </row>
    <row r="38" spans="2:18" x14ac:dyDescent="0.25">
      <c r="C38" s="32" t="s">
        <v>153</v>
      </c>
      <c r="D38" s="32" t="s">
        <v>262</v>
      </c>
      <c r="E38" s="32">
        <v>0</v>
      </c>
      <c r="F38" s="32">
        <v>0</v>
      </c>
      <c r="G38" s="32" t="s">
        <v>35</v>
      </c>
      <c r="L38" s="32" t="s">
        <v>36</v>
      </c>
      <c r="M38" s="32" t="s">
        <v>273</v>
      </c>
      <c r="N38" s="32">
        <v>50</v>
      </c>
      <c r="O38" s="32">
        <v>-14</v>
      </c>
      <c r="P38" s="32">
        <v>50</v>
      </c>
      <c r="Q38" s="32">
        <v>10</v>
      </c>
      <c r="R38" s="32">
        <v>0</v>
      </c>
    </row>
    <row r="39" spans="2:18" x14ac:dyDescent="0.25">
      <c r="C39" s="32" t="s">
        <v>155</v>
      </c>
      <c r="D39" s="32" t="s">
        <v>263</v>
      </c>
      <c r="E39" s="32">
        <v>30</v>
      </c>
      <c r="F39" s="32">
        <v>30</v>
      </c>
      <c r="G39" s="32" t="s">
        <v>35</v>
      </c>
      <c r="L39" s="32" t="s">
        <v>205</v>
      </c>
      <c r="M39" s="32" t="s">
        <v>275</v>
      </c>
      <c r="N39" s="32">
        <v>30</v>
      </c>
      <c r="O39" s="32">
        <v>-2</v>
      </c>
      <c r="P39" s="32">
        <v>30</v>
      </c>
      <c r="Q39" s="32">
        <v>30</v>
      </c>
      <c r="R39" s="32">
        <v>0</v>
      </c>
    </row>
    <row r="40" spans="2:18" x14ac:dyDescent="0.25">
      <c r="C40" s="32" t="s">
        <v>157</v>
      </c>
      <c r="D40" s="32" t="s">
        <v>264</v>
      </c>
      <c r="E40" s="32">
        <v>0</v>
      </c>
      <c r="F40" s="32">
        <v>0</v>
      </c>
      <c r="G40" s="32" t="s">
        <v>35</v>
      </c>
      <c r="L40" s="32" t="s">
        <v>210</v>
      </c>
      <c r="M40" s="32" t="s">
        <v>277</v>
      </c>
      <c r="N40" s="32">
        <v>50</v>
      </c>
      <c r="O40" s="32">
        <v>-16</v>
      </c>
      <c r="P40" s="32">
        <v>50</v>
      </c>
      <c r="Q40" s="32">
        <v>30</v>
      </c>
      <c r="R40" s="32">
        <v>0</v>
      </c>
    </row>
    <row r="41" spans="2:18" x14ac:dyDescent="0.25">
      <c r="C41" s="32" t="s">
        <v>159</v>
      </c>
      <c r="D41" s="32" t="s">
        <v>265</v>
      </c>
      <c r="E41" s="32">
        <v>20</v>
      </c>
      <c r="F41" s="32">
        <v>20</v>
      </c>
      <c r="G41" s="32" t="s">
        <v>35</v>
      </c>
      <c r="L41" s="32" t="s">
        <v>216</v>
      </c>
      <c r="M41" s="32" t="s">
        <v>279</v>
      </c>
      <c r="N41" s="32">
        <v>60</v>
      </c>
      <c r="O41" s="32">
        <v>-12</v>
      </c>
      <c r="P41" s="32">
        <v>60</v>
      </c>
      <c r="Q41" s="32">
        <v>30</v>
      </c>
      <c r="R41" s="32">
        <v>0</v>
      </c>
    </row>
    <row r="42" spans="2:18" x14ac:dyDescent="0.25">
      <c r="L42" s="32" t="s">
        <v>161</v>
      </c>
      <c r="M42" s="32" t="s">
        <v>281</v>
      </c>
      <c r="N42" s="32">
        <v>50</v>
      </c>
      <c r="O42" s="32">
        <v>0</v>
      </c>
      <c r="P42" s="32">
        <v>50</v>
      </c>
      <c r="Q42" s="32">
        <v>1E+30</v>
      </c>
      <c r="R42" s="32">
        <v>0</v>
      </c>
    </row>
    <row r="44" spans="2:18" x14ac:dyDescent="0.25">
      <c r="B44" s="24" t="s">
        <v>27</v>
      </c>
    </row>
    <row r="45" spans="2:18" x14ac:dyDescent="0.25">
      <c r="C45" s="31" t="s">
        <v>21</v>
      </c>
      <c r="D45" s="31" t="s">
        <v>22</v>
      </c>
      <c r="E45" s="31" t="s">
        <v>28</v>
      </c>
      <c r="F45" s="31" t="s">
        <v>29</v>
      </c>
      <c r="G45" s="31" t="s">
        <v>30</v>
      </c>
      <c r="H45" s="31" t="s">
        <v>31</v>
      </c>
    </row>
    <row r="46" spans="2:18" x14ac:dyDescent="0.25">
      <c r="C46" s="32" t="s">
        <v>163</v>
      </c>
      <c r="D46" s="32" t="s">
        <v>266</v>
      </c>
      <c r="E46" s="32">
        <v>60</v>
      </c>
      <c r="F46" s="32" t="s">
        <v>267</v>
      </c>
      <c r="G46" s="32" t="s">
        <v>48</v>
      </c>
      <c r="H46" s="32">
        <v>0</v>
      </c>
    </row>
    <row r="47" spans="2:18" x14ac:dyDescent="0.25">
      <c r="C47" s="32" t="s">
        <v>165</v>
      </c>
      <c r="D47" s="32" t="s">
        <v>268</v>
      </c>
      <c r="E47" s="32">
        <v>120</v>
      </c>
      <c r="F47" s="32" t="s">
        <v>269</v>
      </c>
      <c r="G47" s="32" t="s">
        <v>48</v>
      </c>
      <c r="H47" s="32">
        <v>0</v>
      </c>
    </row>
    <row r="48" spans="2:18" x14ac:dyDescent="0.25">
      <c r="C48" s="32" t="s">
        <v>167</v>
      </c>
      <c r="D48" s="32" t="s">
        <v>270</v>
      </c>
      <c r="E48" s="32">
        <v>40</v>
      </c>
      <c r="F48" s="32" t="s">
        <v>271</v>
      </c>
      <c r="G48" s="32" t="s">
        <v>48</v>
      </c>
      <c r="H48" s="32">
        <v>0</v>
      </c>
    </row>
    <row r="49" spans="3:8" x14ac:dyDescent="0.25">
      <c r="C49" s="32" t="s">
        <v>169</v>
      </c>
      <c r="D49" s="32" t="s">
        <v>135</v>
      </c>
      <c r="E49" s="32">
        <v>20</v>
      </c>
      <c r="F49" s="32" t="s">
        <v>272</v>
      </c>
      <c r="G49" s="32" t="s">
        <v>48</v>
      </c>
      <c r="H49" s="32">
        <v>0</v>
      </c>
    </row>
    <row r="50" spans="3:8" x14ac:dyDescent="0.25">
      <c r="C50" s="32" t="s">
        <v>36</v>
      </c>
      <c r="D50" s="32" t="s">
        <v>273</v>
      </c>
      <c r="E50" s="32">
        <v>50</v>
      </c>
      <c r="F50" s="32" t="s">
        <v>274</v>
      </c>
      <c r="G50" s="32" t="s">
        <v>48</v>
      </c>
      <c r="H50" s="32">
        <v>0</v>
      </c>
    </row>
    <row r="51" spans="3:8" x14ac:dyDescent="0.25">
      <c r="C51" s="32" t="s">
        <v>205</v>
      </c>
      <c r="D51" s="32" t="s">
        <v>275</v>
      </c>
      <c r="E51" s="32">
        <v>30</v>
      </c>
      <c r="F51" s="32" t="s">
        <v>276</v>
      </c>
      <c r="G51" s="32" t="s">
        <v>48</v>
      </c>
      <c r="H51" s="32">
        <v>0</v>
      </c>
    </row>
    <row r="52" spans="3:8" x14ac:dyDescent="0.25">
      <c r="C52" s="32" t="s">
        <v>210</v>
      </c>
      <c r="D52" s="32" t="s">
        <v>277</v>
      </c>
      <c r="E52" s="32">
        <v>50</v>
      </c>
      <c r="F52" s="32" t="s">
        <v>278</v>
      </c>
      <c r="G52" s="32" t="s">
        <v>48</v>
      </c>
      <c r="H52" s="32">
        <v>0</v>
      </c>
    </row>
    <row r="53" spans="3:8" x14ac:dyDescent="0.25">
      <c r="C53" s="32" t="s">
        <v>216</v>
      </c>
      <c r="D53" s="32" t="s">
        <v>279</v>
      </c>
      <c r="E53" s="32">
        <v>60</v>
      </c>
      <c r="F53" s="32" t="s">
        <v>280</v>
      </c>
      <c r="G53" s="32" t="s">
        <v>48</v>
      </c>
      <c r="H53" s="32">
        <v>0</v>
      </c>
    </row>
    <row r="54" spans="3:8" x14ac:dyDescent="0.25">
      <c r="C54" s="32" t="s">
        <v>161</v>
      </c>
      <c r="D54" s="32" t="s">
        <v>281</v>
      </c>
      <c r="E54" s="32">
        <v>50</v>
      </c>
      <c r="F54" s="32" t="s">
        <v>282</v>
      </c>
      <c r="G54" s="32" t="s">
        <v>48</v>
      </c>
      <c r="H54" s="32">
        <v>0</v>
      </c>
    </row>
  </sheetData>
  <pageMargins left="0.7" right="0.7" top="0.75" bottom="0.75" header="0.3" footer="0.3"/>
  <pageSetup scale="5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655F-DCB8-4EE8-916C-EA039EF4DB4E}">
  <sheetPr>
    <tabColor theme="5" tint="-0.249977111117893"/>
    <pageSetUpPr fitToPage="1"/>
  </sheetPr>
  <dimension ref="B2:J18"/>
  <sheetViews>
    <sheetView view="pageBreakPreview" zoomScale="121" zoomScaleNormal="100" workbookViewId="0">
      <selection activeCell="D21" sqref="D21"/>
    </sheetView>
  </sheetViews>
  <sheetFormatPr defaultRowHeight="14.4" x14ac:dyDescent="0.3"/>
  <cols>
    <col min="2" max="2" width="10.44140625" bestFit="1" customWidth="1"/>
    <col min="6" max="6" width="9.33203125" bestFit="1" customWidth="1"/>
    <col min="7" max="7" width="9.88671875" bestFit="1" customWidth="1"/>
    <col min="8" max="8" width="14" bestFit="1" customWidth="1"/>
  </cols>
  <sheetData>
    <row r="2" spans="2:10" x14ac:dyDescent="0.3">
      <c r="B2" s="1"/>
      <c r="C2" s="2" t="s">
        <v>231</v>
      </c>
      <c r="D2" s="2" t="s">
        <v>232</v>
      </c>
      <c r="E2" s="2" t="s">
        <v>233</v>
      </c>
      <c r="F2" s="2" t="s">
        <v>115</v>
      </c>
      <c r="G2" s="3" t="s">
        <v>116</v>
      </c>
      <c r="H2" s="6" t="s">
        <v>123</v>
      </c>
      <c r="I2" s="7"/>
      <c r="J2" s="7"/>
    </row>
    <row r="3" spans="2:10" x14ac:dyDescent="0.3">
      <c r="B3" s="2" t="s">
        <v>234</v>
      </c>
      <c r="C3" s="15">
        <v>12</v>
      </c>
      <c r="D3" s="15">
        <v>14</v>
      </c>
      <c r="E3" s="15">
        <v>16</v>
      </c>
      <c r="F3" s="15">
        <v>0</v>
      </c>
      <c r="G3" s="4">
        <v>50</v>
      </c>
      <c r="H3" s="11" t="s">
        <v>7</v>
      </c>
      <c r="I3" s="11" t="s">
        <v>122</v>
      </c>
      <c r="J3" s="11">
        <f>SUMPRODUCT(C3:F7,C11:F15)</f>
        <v>3600</v>
      </c>
    </row>
    <row r="4" spans="2:10" x14ac:dyDescent="0.3">
      <c r="B4" s="2" t="s">
        <v>235</v>
      </c>
      <c r="C4" s="15">
        <v>24</v>
      </c>
      <c r="D4" s="15">
        <v>26</v>
      </c>
      <c r="E4" s="15">
        <v>28</v>
      </c>
      <c r="F4" s="15">
        <v>0</v>
      </c>
      <c r="G4" s="4">
        <v>30</v>
      </c>
    </row>
    <row r="5" spans="2:10" x14ac:dyDescent="0.3">
      <c r="B5" s="2" t="s">
        <v>236</v>
      </c>
      <c r="C5" s="15">
        <v>16</v>
      </c>
      <c r="D5" s="15">
        <v>12</v>
      </c>
      <c r="E5" s="15">
        <v>14</v>
      </c>
      <c r="F5" s="15">
        <v>0</v>
      </c>
      <c r="G5" s="4">
        <v>50</v>
      </c>
    </row>
    <row r="6" spans="2:10" x14ac:dyDescent="0.3">
      <c r="B6" s="2" t="s">
        <v>237</v>
      </c>
      <c r="C6" s="15">
        <v>20</v>
      </c>
      <c r="D6" s="15">
        <v>16</v>
      </c>
      <c r="E6" s="15">
        <v>12</v>
      </c>
      <c r="F6" s="15">
        <v>0</v>
      </c>
      <c r="G6" s="4">
        <v>60</v>
      </c>
    </row>
    <row r="7" spans="2:10" x14ac:dyDescent="0.3">
      <c r="B7" s="2" t="s">
        <v>238</v>
      </c>
      <c r="C7" s="16">
        <v>32</v>
      </c>
      <c r="D7" s="16">
        <v>28</v>
      </c>
      <c r="E7" s="15">
        <v>24</v>
      </c>
      <c r="F7" s="15">
        <v>0</v>
      </c>
      <c r="G7" s="4">
        <v>50</v>
      </c>
    </row>
    <row r="8" spans="2:10" x14ac:dyDescent="0.3">
      <c r="B8" s="5" t="s">
        <v>121</v>
      </c>
      <c r="C8" s="4">
        <v>60</v>
      </c>
      <c r="D8" s="4">
        <v>120</v>
      </c>
      <c r="E8" s="4">
        <v>40</v>
      </c>
      <c r="F8" s="4">
        <v>20</v>
      </c>
      <c r="G8" s="4">
        <v>240</v>
      </c>
    </row>
    <row r="10" spans="2:10" x14ac:dyDescent="0.3">
      <c r="B10" s="1"/>
      <c r="C10" s="2" t="s">
        <v>231</v>
      </c>
      <c r="D10" s="2" t="s">
        <v>232</v>
      </c>
      <c r="E10" s="2" t="s">
        <v>233</v>
      </c>
      <c r="F10" s="2" t="s">
        <v>115</v>
      </c>
      <c r="G10" s="3" t="s">
        <v>116</v>
      </c>
    </row>
    <row r="11" spans="2:10" x14ac:dyDescent="0.3">
      <c r="B11" s="2" t="s">
        <v>234</v>
      </c>
      <c r="C11" s="15">
        <v>50</v>
      </c>
      <c r="D11" s="15">
        <v>0</v>
      </c>
      <c r="E11" s="15">
        <v>0</v>
      </c>
      <c r="F11" s="15">
        <v>0</v>
      </c>
      <c r="G11" s="4">
        <f>SUM(C11:F11)</f>
        <v>50</v>
      </c>
      <c r="H11" s="10" t="s">
        <v>8</v>
      </c>
      <c r="I11" s="4">
        <v>50</v>
      </c>
    </row>
    <row r="12" spans="2:10" x14ac:dyDescent="0.3">
      <c r="B12" s="2" t="s">
        <v>235</v>
      </c>
      <c r="C12" s="15">
        <v>10</v>
      </c>
      <c r="D12" s="15">
        <v>20</v>
      </c>
      <c r="E12" s="15">
        <v>0</v>
      </c>
      <c r="F12" s="15">
        <v>0</v>
      </c>
      <c r="G12" s="4">
        <f t="shared" ref="G12:G15" si="0">SUM(C12:F12)</f>
        <v>30</v>
      </c>
      <c r="H12" s="10" t="s">
        <v>8</v>
      </c>
      <c r="I12" s="4">
        <v>30</v>
      </c>
    </row>
    <row r="13" spans="2:10" x14ac:dyDescent="0.3">
      <c r="B13" s="2" t="s">
        <v>236</v>
      </c>
      <c r="C13" s="15">
        <v>0</v>
      </c>
      <c r="D13" s="15">
        <v>50</v>
      </c>
      <c r="E13" s="15">
        <v>0</v>
      </c>
      <c r="F13" s="15">
        <v>0</v>
      </c>
      <c r="G13" s="4">
        <f t="shared" si="0"/>
        <v>50</v>
      </c>
      <c r="H13" s="10" t="s">
        <v>8</v>
      </c>
      <c r="I13" s="4">
        <v>50</v>
      </c>
    </row>
    <row r="14" spans="2:10" x14ac:dyDescent="0.3">
      <c r="B14" s="2" t="s">
        <v>237</v>
      </c>
      <c r="C14" s="15">
        <v>0</v>
      </c>
      <c r="D14" s="15">
        <v>20</v>
      </c>
      <c r="E14" s="15">
        <v>40</v>
      </c>
      <c r="F14" s="15">
        <v>0</v>
      </c>
      <c r="G14" s="4">
        <f t="shared" si="0"/>
        <v>60</v>
      </c>
      <c r="H14" s="10" t="s">
        <v>8</v>
      </c>
      <c r="I14" s="4">
        <v>60</v>
      </c>
    </row>
    <row r="15" spans="2:10" x14ac:dyDescent="0.3">
      <c r="B15" s="2" t="s">
        <v>238</v>
      </c>
      <c r="C15" s="16">
        <v>0</v>
      </c>
      <c r="D15" s="16">
        <v>30</v>
      </c>
      <c r="E15" s="15">
        <v>0</v>
      </c>
      <c r="F15" s="15">
        <v>20</v>
      </c>
      <c r="G15" s="4">
        <f t="shared" si="0"/>
        <v>50</v>
      </c>
      <c r="H15" s="10" t="s">
        <v>8</v>
      </c>
      <c r="I15" s="4">
        <v>50</v>
      </c>
    </row>
    <row r="16" spans="2:10" x14ac:dyDescent="0.3">
      <c r="B16" s="5" t="s">
        <v>121</v>
      </c>
      <c r="C16" s="4">
        <f>SUM(C11:C15)</f>
        <v>60</v>
      </c>
      <c r="D16" s="4">
        <f t="shared" ref="D16:F16" si="1">SUM(D11:D15)</f>
        <v>120</v>
      </c>
      <c r="E16" s="4">
        <f t="shared" si="1"/>
        <v>40</v>
      </c>
      <c r="F16" s="4">
        <f t="shared" si="1"/>
        <v>20</v>
      </c>
      <c r="G16" s="4">
        <v>240</v>
      </c>
    </row>
    <row r="17" spans="3:6" x14ac:dyDescent="0.3">
      <c r="C17" s="9" t="s">
        <v>122</v>
      </c>
      <c r="D17" s="9" t="s">
        <v>122</v>
      </c>
      <c r="E17" s="9" t="s">
        <v>122</v>
      </c>
      <c r="F17" s="9" t="s">
        <v>122</v>
      </c>
    </row>
    <row r="18" spans="3:6" x14ac:dyDescent="0.3">
      <c r="C18" s="4">
        <v>60</v>
      </c>
      <c r="D18" s="4">
        <v>120</v>
      </c>
      <c r="E18" s="4">
        <v>40</v>
      </c>
      <c r="F18" s="4">
        <v>20</v>
      </c>
    </row>
  </sheetData>
  <pageMargins left="0.25" right="0.25" top="0.75" bottom="0.75" header="0.3" footer="0.3"/>
  <pageSetup paperSize="9" fitToWidth="4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2803-8E7C-4186-858B-FEB3C88A59A3}">
  <sheetPr>
    <tabColor theme="7" tint="-0.249977111117893"/>
    <pageSetUpPr fitToPage="1"/>
  </sheetPr>
  <dimension ref="B2:R49"/>
  <sheetViews>
    <sheetView showGridLines="0" zoomScale="79" zoomScaleNormal="59" workbookViewId="0">
      <selection activeCell="J3" sqref="J3"/>
    </sheetView>
  </sheetViews>
  <sheetFormatPr defaultRowHeight="13.8" x14ac:dyDescent="0.25"/>
  <cols>
    <col min="1" max="1" width="8.88671875" style="24"/>
    <col min="2" max="2" width="2.33203125" style="24" customWidth="1"/>
    <col min="3" max="3" width="7.5546875" style="24" customWidth="1"/>
    <col min="4" max="4" width="24" style="24" bestFit="1" customWidth="1"/>
    <col min="5" max="5" width="18.21875" style="24" bestFit="1" customWidth="1"/>
    <col min="6" max="6" width="14.5546875" style="24" bestFit="1" customWidth="1"/>
    <col min="7" max="7" width="9.5546875" style="24" bestFit="1" customWidth="1"/>
    <col min="8" max="8" width="7.88671875" style="24" customWidth="1"/>
    <col min="9" max="9" width="8.88671875" style="24"/>
    <col min="10" max="10" width="10.5546875" style="24" customWidth="1"/>
    <col min="11" max="11" width="2.33203125" style="24" customWidth="1"/>
    <col min="12" max="12" width="7.88671875" style="24" customWidth="1"/>
    <col min="13" max="13" width="24" style="24" bestFit="1" customWidth="1"/>
    <col min="14" max="14" width="8.109375" style="24" bestFit="1" customWidth="1"/>
    <col min="15" max="15" width="11.5546875" style="24" bestFit="1" customWidth="1"/>
    <col min="16" max="16" width="14" style="24" bestFit="1" customWidth="1"/>
    <col min="17" max="18" width="12.5546875" style="24" bestFit="1" customWidth="1"/>
    <col min="19" max="19" width="2.21875" style="24" customWidth="1"/>
    <col min="20" max="16384" width="8.88671875" style="24"/>
  </cols>
  <sheetData>
    <row r="2" spans="2:18" x14ac:dyDescent="0.25">
      <c r="B2" s="23" t="s">
        <v>12</v>
      </c>
      <c r="K2" s="23" t="s">
        <v>50</v>
      </c>
    </row>
    <row r="3" spans="2:18" x14ac:dyDescent="0.25">
      <c r="B3" s="23" t="s">
        <v>293</v>
      </c>
      <c r="D3" s="23" t="s">
        <v>368</v>
      </c>
      <c r="K3" s="23" t="s">
        <v>293</v>
      </c>
      <c r="M3" s="23" t="s">
        <v>368</v>
      </c>
    </row>
    <row r="4" spans="2:18" x14ac:dyDescent="0.25">
      <c r="B4" s="23" t="s">
        <v>294</v>
      </c>
      <c r="K4" s="23" t="s">
        <v>294</v>
      </c>
    </row>
    <row r="5" spans="2:18" x14ac:dyDescent="0.25">
      <c r="B5" s="23" t="s">
        <v>13</v>
      </c>
    </row>
    <row r="6" spans="2:18" x14ac:dyDescent="0.25">
      <c r="B6" s="23" t="s">
        <v>14</v>
      </c>
    </row>
    <row r="7" spans="2:18" x14ac:dyDescent="0.25">
      <c r="B7" s="23"/>
      <c r="C7" s="24" t="s">
        <v>15</v>
      </c>
      <c r="K7" s="24" t="s">
        <v>25</v>
      </c>
    </row>
    <row r="8" spans="2:18" x14ac:dyDescent="0.25">
      <c r="B8" s="23"/>
      <c r="C8" s="24" t="s">
        <v>16</v>
      </c>
      <c r="L8" s="31"/>
      <c r="M8" s="31"/>
      <c r="N8" s="31" t="s">
        <v>51</v>
      </c>
      <c r="O8" s="31" t="s">
        <v>53</v>
      </c>
      <c r="P8" s="31" t="s">
        <v>55</v>
      </c>
      <c r="Q8" s="31" t="s">
        <v>57</v>
      </c>
      <c r="R8" s="31" t="s">
        <v>57</v>
      </c>
    </row>
    <row r="9" spans="2:18" x14ac:dyDescent="0.25">
      <c r="B9" s="23"/>
      <c r="C9" s="24" t="s">
        <v>295</v>
      </c>
      <c r="L9" s="31" t="s">
        <v>21</v>
      </c>
      <c r="M9" s="31" t="s">
        <v>22</v>
      </c>
      <c r="N9" s="31" t="s">
        <v>52</v>
      </c>
      <c r="O9" s="31" t="s">
        <v>54</v>
      </c>
      <c r="P9" s="31" t="s">
        <v>56</v>
      </c>
      <c r="Q9" s="31" t="s">
        <v>58</v>
      </c>
      <c r="R9" s="31" t="s">
        <v>59</v>
      </c>
    </row>
    <row r="10" spans="2:18" x14ac:dyDescent="0.25">
      <c r="B10" s="23" t="s">
        <v>17</v>
      </c>
      <c r="L10" s="32" t="s">
        <v>243</v>
      </c>
      <c r="M10" s="32" t="s">
        <v>297</v>
      </c>
      <c r="N10" s="32">
        <v>0</v>
      </c>
      <c r="O10" s="32">
        <v>0</v>
      </c>
      <c r="P10" s="32">
        <v>20</v>
      </c>
      <c r="Q10" s="32">
        <v>4</v>
      </c>
      <c r="R10" s="32">
        <v>5</v>
      </c>
    </row>
    <row r="11" spans="2:18" x14ac:dyDescent="0.25">
      <c r="C11" s="24" t="s">
        <v>18</v>
      </c>
      <c r="L11" s="32" t="s">
        <v>245</v>
      </c>
      <c r="M11" s="32" t="s">
        <v>298</v>
      </c>
      <c r="N11" s="32">
        <v>1</v>
      </c>
      <c r="O11" s="32">
        <v>0</v>
      </c>
      <c r="P11" s="32">
        <v>18</v>
      </c>
      <c r="Q11" s="32">
        <v>5</v>
      </c>
      <c r="R11" s="32">
        <v>1E+30</v>
      </c>
    </row>
    <row r="12" spans="2:18" x14ac:dyDescent="0.25">
      <c r="C12" s="24" t="s">
        <v>19</v>
      </c>
      <c r="L12" s="32" t="s">
        <v>247</v>
      </c>
      <c r="M12" s="32" t="s">
        <v>299</v>
      </c>
      <c r="N12" s="32">
        <v>0</v>
      </c>
      <c r="O12" s="32">
        <v>4</v>
      </c>
      <c r="P12" s="32">
        <v>15</v>
      </c>
      <c r="Q12" s="32">
        <v>1E+30</v>
      </c>
      <c r="R12" s="32">
        <v>4</v>
      </c>
    </row>
    <row r="13" spans="2:18" x14ac:dyDescent="0.25">
      <c r="L13" s="32" t="s">
        <v>34</v>
      </c>
      <c r="M13" s="32" t="s">
        <v>300</v>
      </c>
      <c r="N13" s="32">
        <v>0</v>
      </c>
      <c r="O13" s="32">
        <v>52</v>
      </c>
      <c r="P13" s="32">
        <v>75</v>
      </c>
      <c r="Q13" s="32">
        <v>1E+30</v>
      </c>
      <c r="R13" s="32">
        <v>52</v>
      </c>
    </row>
    <row r="14" spans="2:18" x14ac:dyDescent="0.25">
      <c r="L14" s="32" t="s">
        <v>201</v>
      </c>
      <c r="M14" s="32" t="s">
        <v>301</v>
      </c>
      <c r="N14" s="32">
        <v>1</v>
      </c>
      <c r="O14" s="32">
        <v>0</v>
      </c>
      <c r="P14" s="32">
        <v>32</v>
      </c>
      <c r="Q14" s="32">
        <v>5</v>
      </c>
      <c r="R14" s="32">
        <v>4</v>
      </c>
    </row>
    <row r="15" spans="2:18" x14ac:dyDescent="0.25">
      <c r="B15" s="24" t="s">
        <v>93</v>
      </c>
      <c r="L15" s="32" t="s">
        <v>202</v>
      </c>
      <c r="M15" s="32" t="s">
        <v>302</v>
      </c>
      <c r="N15" s="32">
        <v>0</v>
      </c>
      <c r="O15" s="32">
        <v>18</v>
      </c>
      <c r="P15" s="32">
        <v>48</v>
      </c>
      <c r="Q15" s="32">
        <v>1E+30</v>
      </c>
      <c r="R15" s="32">
        <v>18</v>
      </c>
    </row>
    <row r="16" spans="2:18" x14ac:dyDescent="0.25">
      <c r="C16" s="31" t="s">
        <v>21</v>
      </c>
      <c r="D16" s="31" t="s">
        <v>22</v>
      </c>
      <c r="E16" s="31" t="s">
        <v>23</v>
      </c>
      <c r="F16" s="31" t="s">
        <v>24</v>
      </c>
      <c r="L16" s="32" t="s">
        <v>203</v>
      </c>
      <c r="M16" s="32" t="s">
        <v>303</v>
      </c>
      <c r="N16" s="32">
        <v>0</v>
      </c>
      <c r="O16" s="32">
        <v>0</v>
      </c>
      <c r="P16" s="32">
        <v>23</v>
      </c>
      <c r="Q16" s="32">
        <v>3</v>
      </c>
      <c r="R16" s="32">
        <v>5</v>
      </c>
    </row>
    <row r="17" spans="2:18" x14ac:dyDescent="0.25">
      <c r="C17" s="32" t="s">
        <v>296</v>
      </c>
      <c r="D17" s="35" t="s">
        <v>122</v>
      </c>
      <c r="E17" s="32">
        <v>86</v>
      </c>
      <c r="F17" s="32">
        <v>86</v>
      </c>
      <c r="L17" s="32" t="s">
        <v>204</v>
      </c>
      <c r="M17" s="32" t="s">
        <v>304</v>
      </c>
      <c r="N17" s="32">
        <v>0</v>
      </c>
      <c r="O17" s="32">
        <v>3</v>
      </c>
      <c r="P17" s="32">
        <v>38</v>
      </c>
      <c r="Q17" s="32">
        <v>1E+30</v>
      </c>
      <c r="R17" s="32">
        <v>3</v>
      </c>
    </row>
    <row r="18" spans="2:18" x14ac:dyDescent="0.25">
      <c r="L18" s="32" t="s">
        <v>206</v>
      </c>
      <c r="M18" s="32" t="s">
        <v>305</v>
      </c>
      <c r="N18" s="32">
        <v>0</v>
      </c>
      <c r="O18" s="32">
        <v>18</v>
      </c>
      <c r="P18" s="32">
        <v>51</v>
      </c>
      <c r="Q18" s="32">
        <v>1E+30</v>
      </c>
      <c r="R18" s="32">
        <v>18</v>
      </c>
    </row>
    <row r="19" spans="2:18" x14ac:dyDescent="0.25">
      <c r="L19" s="32" t="s">
        <v>207</v>
      </c>
      <c r="M19" s="32" t="s">
        <v>306</v>
      </c>
      <c r="N19" s="32">
        <v>0</v>
      </c>
      <c r="O19" s="32">
        <v>5</v>
      </c>
      <c r="P19" s="32">
        <v>36</v>
      </c>
      <c r="Q19" s="32">
        <v>1E+30</v>
      </c>
      <c r="R19" s="32">
        <v>5</v>
      </c>
    </row>
    <row r="20" spans="2:18" x14ac:dyDescent="0.25">
      <c r="B20" s="24" t="s">
        <v>25</v>
      </c>
      <c r="L20" s="32" t="s">
        <v>208</v>
      </c>
      <c r="M20" s="32" t="s">
        <v>307</v>
      </c>
      <c r="N20" s="32">
        <v>1</v>
      </c>
      <c r="O20" s="32">
        <v>0</v>
      </c>
      <c r="P20" s="32">
        <v>24</v>
      </c>
      <c r="Q20" s="32">
        <v>5</v>
      </c>
      <c r="R20" s="32">
        <v>3</v>
      </c>
    </row>
    <row r="21" spans="2:18" x14ac:dyDescent="0.25">
      <c r="C21" s="31" t="s">
        <v>21</v>
      </c>
      <c r="D21" s="31" t="s">
        <v>22</v>
      </c>
      <c r="E21" s="31" t="s">
        <v>23</v>
      </c>
      <c r="F21" s="31" t="s">
        <v>24</v>
      </c>
      <c r="G21" s="31" t="s">
        <v>26</v>
      </c>
      <c r="L21" s="32" t="s">
        <v>209</v>
      </c>
      <c r="M21" s="32" t="s">
        <v>308</v>
      </c>
      <c r="N21" s="32">
        <v>0</v>
      </c>
      <c r="O21" s="32">
        <v>0</v>
      </c>
      <c r="P21" s="32">
        <v>36</v>
      </c>
      <c r="Q21" s="32">
        <v>3</v>
      </c>
      <c r="R21" s="32">
        <v>16</v>
      </c>
    </row>
    <row r="22" spans="2:18" x14ac:dyDescent="0.25">
      <c r="C22" s="32" t="s">
        <v>243</v>
      </c>
      <c r="D22" s="32" t="s">
        <v>297</v>
      </c>
      <c r="E22" s="32">
        <v>0</v>
      </c>
      <c r="F22" s="32">
        <v>0</v>
      </c>
      <c r="G22" s="32" t="s">
        <v>35</v>
      </c>
      <c r="L22" s="32" t="s">
        <v>211</v>
      </c>
      <c r="M22" s="32" t="s">
        <v>309</v>
      </c>
      <c r="N22" s="32">
        <v>0</v>
      </c>
      <c r="O22" s="32">
        <v>16</v>
      </c>
      <c r="P22" s="32">
        <v>25</v>
      </c>
      <c r="Q22" s="32">
        <v>1E+30</v>
      </c>
      <c r="R22" s="32">
        <v>16</v>
      </c>
    </row>
    <row r="23" spans="2:18" x14ac:dyDescent="0.25">
      <c r="C23" s="32" t="s">
        <v>245</v>
      </c>
      <c r="D23" s="32" t="s">
        <v>298</v>
      </c>
      <c r="E23" s="32">
        <v>1</v>
      </c>
      <c r="F23" s="32">
        <v>1</v>
      </c>
      <c r="G23" s="32" t="s">
        <v>35</v>
      </c>
      <c r="L23" s="32" t="s">
        <v>213</v>
      </c>
      <c r="M23" s="32" t="s">
        <v>310</v>
      </c>
      <c r="N23" s="32">
        <v>0</v>
      </c>
      <c r="O23" s="32">
        <v>31</v>
      </c>
      <c r="P23" s="32">
        <v>38</v>
      </c>
      <c r="Q23" s="32">
        <v>1E+30</v>
      </c>
      <c r="R23" s="32">
        <v>31</v>
      </c>
    </row>
    <row r="24" spans="2:18" x14ac:dyDescent="0.25">
      <c r="C24" s="32" t="s">
        <v>247</v>
      </c>
      <c r="D24" s="32" t="s">
        <v>299</v>
      </c>
      <c r="E24" s="32">
        <v>0</v>
      </c>
      <c r="F24" s="32">
        <v>0</v>
      </c>
      <c r="G24" s="32" t="s">
        <v>35</v>
      </c>
      <c r="L24" s="32" t="s">
        <v>214</v>
      </c>
      <c r="M24" s="32" t="s">
        <v>311</v>
      </c>
      <c r="N24" s="32">
        <v>0</v>
      </c>
      <c r="O24" s="32">
        <v>55</v>
      </c>
      <c r="P24" s="32">
        <v>55</v>
      </c>
      <c r="Q24" s="32">
        <v>1E+30</v>
      </c>
      <c r="R24" s="32">
        <v>55</v>
      </c>
    </row>
    <row r="25" spans="2:18" x14ac:dyDescent="0.25">
      <c r="C25" s="32" t="s">
        <v>34</v>
      </c>
      <c r="D25" s="32" t="s">
        <v>300</v>
      </c>
      <c r="E25" s="32">
        <v>0</v>
      </c>
      <c r="F25" s="32">
        <v>0</v>
      </c>
      <c r="G25" s="32" t="s">
        <v>35</v>
      </c>
      <c r="L25" s="32" t="s">
        <v>215</v>
      </c>
      <c r="M25" s="32" t="s">
        <v>312</v>
      </c>
      <c r="N25" s="32">
        <v>1</v>
      </c>
      <c r="O25" s="32">
        <v>0</v>
      </c>
      <c r="P25" s="32">
        <v>12</v>
      </c>
      <c r="Q25" s="32">
        <v>16</v>
      </c>
      <c r="R25" s="32">
        <v>1E+30</v>
      </c>
    </row>
    <row r="26" spans="2:18" x14ac:dyDescent="0.25">
      <c r="C26" s="32" t="s">
        <v>201</v>
      </c>
      <c r="D26" s="32" t="s">
        <v>301</v>
      </c>
      <c r="E26" s="32">
        <v>1</v>
      </c>
      <c r="F26" s="32">
        <v>1</v>
      </c>
      <c r="G26" s="32" t="s">
        <v>35</v>
      </c>
    </row>
    <row r="27" spans="2:18" x14ac:dyDescent="0.25">
      <c r="C27" s="32" t="s">
        <v>202</v>
      </c>
      <c r="D27" s="32" t="s">
        <v>302</v>
      </c>
      <c r="E27" s="32">
        <v>0</v>
      </c>
      <c r="F27" s="32">
        <v>0</v>
      </c>
      <c r="G27" s="32" t="s">
        <v>35</v>
      </c>
      <c r="K27" s="24" t="s">
        <v>27</v>
      </c>
    </row>
    <row r="28" spans="2:18" x14ac:dyDescent="0.25">
      <c r="C28" s="32" t="s">
        <v>203</v>
      </c>
      <c r="D28" s="32" t="s">
        <v>303</v>
      </c>
      <c r="E28" s="32">
        <v>0</v>
      </c>
      <c r="F28" s="32">
        <v>0</v>
      </c>
      <c r="G28" s="32" t="s">
        <v>35</v>
      </c>
      <c r="L28" s="31"/>
      <c r="M28" s="31"/>
      <c r="N28" s="31" t="s">
        <v>51</v>
      </c>
      <c r="O28" s="31" t="s">
        <v>60</v>
      </c>
      <c r="P28" s="31" t="s">
        <v>62</v>
      </c>
      <c r="Q28" s="31" t="s">
        <v>57</v>
      </c>
      <c r="R28" s="31" t="s">
        <v>57</v>
      </c>
    </row>
    <row r="29" spans="2:18" x14ac:dyDescent="0.25">
      <c r="C29" s="32" t="s">
        <v>204</v>
      </c>
      <c r="D29" s="32" t="s">
        <v>304</v>
      </c>
      <c r="E29" s="32">
        <v>0</v>
      </c>
      <c r="F29" s="32">
        <v>0</v>
      </c>
      <c r="G29" s="32" t="s">
        <v>35</v>
      </c>
      <c r="L29" s="31" t="s">
        <v>21</v>
      </c>
      <c r="M29" s="31" t="s">
        <v>22</v>
      </c>
      <c r="N29" s="31" t="s">
        <v>52</v>
      </c>
      <c r="O29" s="31" t="s">
        <v>61</v>
      </c>
      <c r="P29" s="31" t="s">
        <v>63</v>
      </c>
      <c r="Q29" s="31" t="s">
        <v>58</v>
      </c>
      <c r="R29" s="31" t="s">
        <v>59</v>
      </c>
    </row>
    <row r="30" spans="2:18" x14ac:dyDescent="0.25">
      <c r="C30" s="32" t="s">
        <v>206</v>
      </c>
      <c r="D30" s="32" t="s">
        <v>305</v>
      </c>
      <c r="E30" s="32">
        <v>0</v>
      </c>
      <c r="F30" s="32">
        <v>0</v>
      </c>
      <c r="G30" s="32" t="s">
        <v>35</v>
      </c>
      <c r="L30" s="32" t="s">
        <v>153</v>
      </c>
      <c r="M30" s="32" t="s">
        <v>285</v>
      </c>
      <c r="N30" s="32">
        <v>1</v>
      </c>
      <c r="O30" s="32">
        <v>33</v>
      </c>
      <c r="P30" s="32">
        <v>1</v>
      </c>
      <c r="Q30" s="32">
        <v>0</v>
      </c>
      <c r="R30" s="32">
        <v>1</v>
      </c>
    </row>
    <row r="31" spans="2:18" x14ac:dyDescent="0.25">
      <c r="C31" s="32" t="s">
        <v>207</v>
      </c>
      <c r="D31" s="32" t="s">
        <v>306</v>
      </c>
      <c r="E31" s="32">
        <v>0</v>
      </c>
      <c r="F31" s="32">
        <v>0</v>
      </c>
      <c r="G31" s="32" t="s">
        <v>35</v>
      </c>
      <c r="L31" s="32" t="s">
        <v>155</v>
      </c>
      <c r="M31" s="32" t="s">
        <v>286</v>
      </c>
      <c r="N31" s="32">
        <v>1</v>
      </c>
      <c r="O31" s="32">
        <v>31</v>
      </c>
      <c r="P31" s="32">
        <v>1</v>
      </c>
      <c r="Q31" s="32">
        <v>0</v>
      </c>
      <c r="R31" s="32">
        <v>1</v>
      </c>
    </row>
    <row r="32" spans="2:18" x14ac:dyDescent="0.25">
      <c r="C32" s="32" t="s">
        <v>208</v>
      </c>
      <c r="D32" s="32" t="s">
        <v>307</v>
      </c>
      <c r="E32" s="32">
        <v>1</v>
      </c>
      <c r="F32" s="32">
        <v>1</v>
      </c>
      <c r="G32" s="32" t="s">
        <v>35</v>
      </c>
      <c r="L32" s="32" t="s">
        <v>157</v>
      </c>
      <c r="M32" s="32" t="s">
        <v>287</v>
      </c>
      <c r="N32" s="32">
        <v>1</v>
      </c>
      <c r="O32" s="32">
        <v>24</v>
      </c>
      <c r="P32" s="32">
        <v>1</v>
      </c>
      <c r="Q32" s="32">
        <v>0</v>
      </c>
      <c r="R32" s="32">
        <v>1</v>
      </c>
    </row>
    <row r="33" spans="2:18" x14ac:dyDescent="0.25">
      <c r="C33" s="32" t="s">
        <v>209</v>
      </c>
      <c r="D33" s="32" t="s">
        <v>308</v>
      </c>
      <c r="E33" s="32">
        <v>0</v>
      </c>
      <c r="F33" s="32">
        <v>0</v>
      </c>
      <c r="G33" s="32" t="s">
        <v>35</v>
      </c>
      <c r="L33" s="32" t="s">
        <v>159</v>
      </c>
      <c r="M33" s="32" t="s">
        <v>288</v>
      </c>
      <c r="N33" s="32">
        <v>1</v>
      </c>
      <c r="O33" s="32">
        <v>36</v>
      </c>
      <c r="P33" s="32">
        <v>1</v>
      </c>
      <c r="Q33" s="32">
        <v>0</v>
      </c>
      <c r="R33" s="32">
        <v>0</v>
      </c>
    </row>
    <row r="34" spans="2:18" x14ac:dyDescent="0.25">
      <c r="C34" s="32" t="s">
        <v>211</v>
      </c>
      <c r="D34" s="32" t="s">
        <v>309</v>
      </c>
      <c r="E34" s="32">
        <v>0</v>
      </c>
      <c r="F34" s="32">
        <v>0</v>
      </c>
      <c r="G34" s="32" t="s">
        <v>35</v>
      </c>
      <c r="L34" s="32" t="s">
        <v>36</v>
      </c>
      <c r="M34" s="32" t="s">
        <v>317</v>
      </c>
      <c r="N34" s="32">
        <v>1</v>
      </c>
      <c r="O34" s="32">
        <v>-13</v>
      </c>
      <c r="P34" s="32">
        <v>1</v>
      </c>
      <c r="Q34" s="32">
        <v>1</v>
      </c>
      <c r="R34" s="32">
        <v>0</v>
      </c>
    </row>
    <row r="35" spans="2:18" x14ac:dyDescent="0.25">
      <c r="C35" s="32" t="s">
        <v>213</v>
      </c>
      <c r="D35" s="32" t="s">
        <v>310</v>
      </c>
      <c r="E35" s="32">
        <v>0</v>
      </c>
      <c r="F35" s="32">
        <v>0</v>
      </c>
      <c r="G35" s="32" t="s">
        <v>35</v>
      </c>
      <c r="L35" s="32" t="s">
        <v>205</v>
      </c>
      <c r="M35" s="32" t="s">
        <v>319</v>
      </c>
      <c r="N35" s="32">
        <v>1</v>
      </c>
      <c r="O35" s="32">
        <v>-1</v>
      </c>
      <c r="P35" s="32">
        <v>1</v>
      </c>
      <c r="Q35" s="32">
        <v>1</v>
      </c>
      <c r="R35" s="32">
        <v>0</v>
      </c>
    </row>
    <row r="36" spans="2:18" x14ac:dyDescent="0.25">
      <c r="C36" s="32" t="s">
        <v>214</v>
      </c>
      <c r="D36" s="32" t="s">
        <v>311</v>
      </c>
      <c r="E36" s="32">
        <v>0</v>
      </c>
      <c r="F36" s="32">
        <v>0</v>
      </c>
      <c r="G36" s="32" t="s">
        <v>35</v>
      </c>
      <c r="L36" s="32" t="s">
        <v>210</v>
      </c>
      <c r="M36" s="32" t="s">
        <v>321</v>
      </c>
      <c r="N36" s="32">
        <v>1</v>
      </c>
      <c r="O36" s="32">
        <v>0</v>
      </c>
      <c r="P36" s="32">
        <v>1</v>
      </c>
      <c r="Q36" s="32">
        <v>0</v>
      </c>
      <c r="R36" s="32">
        <v>1E+30</v>
      </c>
    </row>
    <row r="37" spans="2:18" x14ac:dyDescent="0.25">
      <c r="C37" s="32" t="s">
        <v>215</v>
      </c>
      <c r="D37" s="32" t="s">
        <v>312</v>
      </c>
      <c r="E37" s="32">
        <v>1</v>
      </c>
      <c r="F37" s="32">
        <v>1</v>
      </c>
      <c r="G37" s="32" t="s">
        <v>35</v>
      </c>
      <c r="L37" s="32" t="s">
        <v>216</v>
      </c>
      <c r="M37" s="32" t="s">
        <v>323</v>
      </c>
      <c r="N37" s="32">
        <v>1</v>
      </c>
      <c r="O37" s="32">
        <v>-24</v>
      </c>
      <c r="P37" s="32">
        <v>1</v>
      </c>
      <c r="Q37" s="32">
        <v>0</v>
      </c>
      <c r="R37" s="32">
        <v>0</v>
      </c>
    </row>
    <row r="40" spans="2:18" x14ac:dyDescent="0.25">
      <c r="B40" s="24" t="s">
        <v>27</v>
      </c>
    </row>
    <row r="41" spans="2:18" x14ac:dyDescent="0.25">
      <c r="C41" s="31" t="s">
        <v>21</v>
      </c>
      <c r="D41" s="31" t="s">
        <v>22</v>
      </c>
      <c r="E41" s="31" t="s">
        <v>28</v>
      </c>
      <c r="F41" s="31" t="s">
        <v>29</v>
      </c>
      <c r="G41" s="31" t="s">
        <v>30</v>
      </c>
      <c r="H41" s="31" t="s">
        <v>31</v>
      </c>
    </row>
    <row r="42" spans="2:18" x14ac:dyDescent="0.25">
      <c r="C42" s="32" t="s">
        <v>153</v>
      </c>
      <c r="D42" s="32" t="s">
        <v>285</v>
      </c>
      <c r="E42" s="32">
        <v>1</v>
      </c>
      <c r="F42" s="32" t="s">
        <v>313</v>
      </c>
      <c r="G42" s="32" t="s">
        <v>48</v>
      </c>
      <c r="H42" s="32">
        <v>0</v>
      </c>
    </row>
    <row r="43" spans="2:18" x14ac:dyDescent="0.25">
      <c r="C43" s="32" t="s">
        <v>155</v>
      </c>
      <c r="D43" s="32" t="s">
        <v>286</v>
      </c>
      <c r="E43" s="32">
        <v>1</v>
      </c>
      <c r="F43" s="32" t="s">
        <v>314</v>
      </c>
      <c r="G43" s="32" t="s">
        <v>48</v>
      </c>
      <c r="H43" s="32">
        <v>0</v>
      </c>
    </row>
    <row r="44" spans="2:18" x14ac:dyDescent="0.25">
      <c r="C44" s="32" t="s">
        <v>157</v>
      </c>
      <c r="D44" s="32" t="s">
        <v>287</v>
      </c>
      <c r="E44" s="32">
        <v>1</v>
      </c>
      <c r="F44" s="32" t="s">
        <v>315</v>
      </c>
      <c r="G44" s="32" t="s">
        <v>48</v>
      </c>
      <c r="H44" s="32">
        <v>0</v>
      </c>
    </row>
    <row r="45" spans="2:18" x14ac:dyDescent="0.25">
      <c r="C45" s="32" t="s">
        <v>159</v>
      </c>
      <c r="D45" s="32" t="s">
        <v>288</v>
      </c>
      <c r="E45" s="32">
        <v>1</v>
      </c>
      <c r="F45" s="32" t="s">
        <v>316</v>
      </c>
      <c r="G45" s="32" t="s">
        <v>48</v>
      </c>
      <c r="H45" s="32">
        <v>0</v>
      </c>
    </row>
    <row r="46" spans="2:18" x14ac:dyDescent="0.25">
      <c r="C46" s="32" t="s">
        <v>36</v>
      </c>
      <c r="D46" s="32" t="s">
        <v>317</v>
      </c>
      <c r="E46" s="32">
        <v>1</v>
      </c>
      <c r="F46" s="32" t="s">
        <v>318</v>
      </c>
      <c r="G46" s="32" t="s">
        <v>48</v>
      </c>
      <c r="H46" s="32">
        <v>0</v>
      </c>
    </row>
    <row r="47" spans="2:18" x14ac:dyDescent="0.25">
      <c r="C47" s="32" t="s">
        <v>205</v>
      </c>
      <c r="D47" s="32" t="s">
        <v>319</v>
      </c>
      <c r="E47" s="32">
        <v>1</v>
      </c>
      <c r="F47" s="32" t="s">
        <v>320</v>
      </c>
      <c r="G47" s="32" t="s">
        <v>48</v>
      </c>
      <c r="H47" s="32">
        <v>0</v>
      </c>
    </row>
    <row r="48" spans="2:18" x14ac:dyDescent="0.25">
      <c r="C48" s="32" t="s">
        <v>210</v>
      </c>
      <c r="D48" s="32" t="s">
        <v>321</v>
      </c>
      <c r="E48" s="32">
        <v>1</v>
      </c>
      <c r="F48" s="32" t="s">
        <v>322</v>
      </c>
      <c r="G48" s="32" t="s">
        <v>48</v>
      </c>
      <c r="H48" s="32">
        <v>0</v>
      </c>
    </row>
    <row r="49" spans="3:8" x14ac:dyDescent="0.25">
      <c r="C49" s="32" t="s">
        <v>216</v>
      </c>
      <c r="D49" s="32" t="s">
        <v>323</v>
      </c>
      <c r="E49" s="32">
        <v>1</v>
      </c>
      <c r="F49" s="32" t="s">
        <v>324</v>
      </c>
      <c r="G49" s="32" t="s">
        <v>48</v>
      </c>
      <c r="H49" s="32">
        <v>0</v>
      </c>
    </row>
  </sheetData>
  <pageMargins left="0.7" right="0.7" top="0.75" bottom="0.75" header="0.3" footer="0.3"/>
  <pageSetup scale="5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82F0-D902-4528-87F1-35337DA81B4A}">
  <sheetPr>
    <tabColor theme="7" tint="-0.249977111117893"/>
    <pageSetUpPr fitToPage="1"/>
  </sheetPr>
  <dimension ref="B2:I17"/>
  <sheetViews>
    <sheetView view="pageBreakPreview" zoomScale="95" zoomScaleNormal="100" workbookViewId="0">
      <selection activeCell="B2" sqref="B2:I17"/>
    </sheetView>
  </sheetViews>
  <sheetFormatPr defaultColWidth="10.109375" defaultRowHeight="14.4" x14ac:dyDescent="0.3"/>
  <cols>
    <col min="1" max="1" width="10.109375" customWidth="1"/>
    <col min="2" max="2" width="12.44140625" customWidth="1"/>
    <col min="3" max="3" width="11.44140625" customWidth="1"/>
    <col min="4" max="4" width="11.5546875" bestFit="1" customWidth="1"/>
    <col min="5" max="5" width="14.21875" bestFit="1" customWidth="1"/>
    <col min="6" max="6" width="11.109375" customWidth="1"/>
    <col min="7" max="7" width="14" bestFit="1" customWidth="1"/>
  </cols>
  <sheetData>
    <row r="2" spans="2:9" x14ac:dyDescent="0.3">
      <c r="B2" s="53" t="s">
        <v>283</v>
      </c>
      <c r="C2" s="54"/>
      <c r="D2" s="54"/>
      <c r="E2" s="54"/>
      <c r="F2" s="55"/>
      <c r="G2" s="19" t="s">
        <v>123</v>
      </c>
      <c r="H2" s="7"/>
      <c r="I2" s="7"/>
    </row>
    <row r="3" spans="2:9" x14ac:dyDescent="0.3">
      <c r="B3" s="18" t="s">
        <v>284</v>
      </c>
      <c r="C3" s="18" t="s">
        <v>285</v>
      </c>
      <c r="D3" s="18" t="s">
        <v>286</v>
      </c>
      <c r="E3" s="18" t="s">
        <v>287</v>
      </c>
      <c r="F3" s="18" t="s">
        <v>288</v>
      </c>
      <c r="G3" s="11" t="s">
        <v>7</v>
      </c>
      <c r="H3" s="11" t="s">
        <v>122</v>
      </c>
      <c r="I3" s="11">
        <f>SUMPRODUCT(C4:F7,C11:F14)</f>
        <v>86</v>
      </c>
    </row>
    <row r="4" spans="2:9" x14ac:dyDescent="0.3">
      <c r="B4" s="18" t="s">
        <v>289</v>
      </c>
      <c r="C4" s="17">
        <v>20</v>
      </c>
      <c r="D4" s="17">
        <v>18</v>
      </c>
      <c r="E4" s="17">
        <v>15</v>
      </c>
      <c r="F4" s="17">
        <v>75</v>
      </c>
      <c r="G4" s="7"/>
      <c r="H4" s="7"/>
      <c r="I4" s="7"/>
    </row>
    <row r="5" spans="2:9" x14ac:dyDescent="0.3">
      <c r="B5" s="18" t="s">
        <v>290</v>
      </c>
      <c r="C5" s="17">
        <v>32</v>
      </c>
      <c r="D5" s="17">
        <v>48</v>
      </c>
      <c r="E5" s="17">
        <v>23</v>
      </c>
      <c r="F5" s="17">
        <v>38</v>
      </c>
      <c r="G5" s="7"/>
      <c r="H5" s="7"/>
      <c r="I5" s="7"/>
    </row>
    <row r="6" spans="2:9" x14ac:dyDescent="0.3">
      <c r="B6" s="18" t="s">
        <v>291</v>
      </c>
      <c r="C6" s="17">
        <v>51</v>
      </c>
      <c r="D6" s="17">
        <v>36</v>
      </c>
      <c r="E6" s="17">
        <v>24</v>
      </c>
      <c r="F6" s="17">
        <v>36</v>
      </c>
      <c r="G6" s="7"/>
      <c r="H6" s="7"/>
      <c r="I6" s="7"/>
    </row>
    <row r="7" spans="2:9" x14ac:dyDescent="0.3">
      <c r="B7" s="18" t="s">
        <v>292</v>
      </c>
      <c r="C7" s="17">
        <v>25</v>
      </c>
      <c r="D7" s="17">
        <v>38</v>
      </c>
      <c r="E7" s="17">
        <v>55</v>
      </c>
      <c r="F7" s="17">
        <v>12</v>
      </c>
      <c r="G7" s="7"/>
      <c r="H7" s="7"/>
      <c r="I7" s="7"/>
    </row>
    <row r="8" spans="2:9" x14ac:dyDescent="0.3">
      <c r="B8" s="7"/>
      <c r="C8" s="7"/>
      <c r="D8" s="7"/>
      <c r="E8" s="7"/>
      <c r="F8" s="7"/>
      <c r="G8" s="7"/>
      <c r="H8" s="7"/>
      <c r="I8" s="7"/>
    </row>
    <row r="9" spans="2:9" x14ac:dyDescent="0.3">
      <c r="B9" s="53" t="s">
        <v>283</v>
      </c>
      <c r="C9" s="54"/>
      <c r="D9" s="54"/>
      <c r="E9" s="54"/>
      <c r="F9" s="55"/>
      <c r="G9" s="7"/>
      <c r="H9" s="7"/>
      <c r="I9" s="7"/>
    </row>
    <row r="10" spans="2:9" x14ac:dyDescent="0.3">
      <c r="B10" s="18" t="s">
        <v>284</v>
      </c>
      <c r="C10" s="18" t="s">
        <v>285</v>
      </c>
      <c r="D10" s="18" t="s">
        <v>286</v>
      </c>
      <c r="E10" s="18" t="s">
        <v>287</v>
      </c>
      <c r="F10" s="18" t="s">
        <v>288</v>
      </c>
      <c r="G10" s="7"/>
      <c r="H10" s="7"/>
      <c r="I10" s="7"/>
    </row>
    <row r="11" spans="2:9" x14ac:dyDescent="0.3">
      <c r="B11" s="18" t="s">
        <v>289</v>
      </c>
      <c r="C11" s="17">
        <v>0</v>
      </c>
      <c r="D11" s="17">
        <v>1</v>
      </c>
      <c r="E11" s="17">
        <v>0</v>
      </c>
      <c r="F11" s="17">
        <v>0</v>
      </c>
      <c r="G11" s="11">
        <f>SUM(C11:F11)</f>
        <v>1</v>
      </c>
      <c r="H11" s="11" t="s">
        <v>122</v>
      </c>
      <c r="I11" s="11">
        <v>1</v>
      </c>
    </row>
    <row r="12" spans="2:9" x14ac:dyDescent="0.3">
      <c r="B12" s="18" t="s">
        <v>290</v>
      </c>
      <c r="C12" s="17">
        <v>1</v>
      </c>
      <c r="D12" s="17">
        <v>0</v>
      </c>
      <c r="E12" s="17">
        <v>0</v>
      </c>
      <c r="F12" s="17">
        <v>0</v>
      </c>
      <c r="G12" s="11">
        <f t="shared" ref="G12:G14" si="0">SUM(C12:F12)</f>
        <v>1</v>
      </c>
      <c r="H12" s="11" t="s">
        <v>122</v>
      </c>
      <c r="I12" s="11">
        <v>1</v>
      </c>
    </row>
    <row r="13" spans="2:9" x14ac:dyDescent="0.3">
      <c r="B13" s="18" t="s">
        <v>291</v>
      </c>
      <c r="C13" s="17">
        <v>0</v>
      </c>
      <c r="D13" s="17">
        <v>0</v>
      </c>
      <c r="E13" s="17">
        <v>1</v>
      </c>
      <c r="F13" s="17">
        <v>0</v>
      </c>
      <c r="G13" s="11">
        <f t="shared" si="0"/>
        <v>1</v>
      </c>
      <c r="H13" s="11" t="s">
        <v>122</v>
      </c>
      <c r="I13" s="11">
        <v>1</v>
      </c>
    </row>
    <row r="14" spans="2:9" x14ac:dyDescent="0.3">
      <c r="B14" s="18" t="s">
        <v>292</v>
      </c>
      <c r="C14" s="17">
        <v>0</v>
      </c>
      <c r="D14" s="17">
        <v>0</v>
      </c>
      <c r="E14" s="17">
        <v>0</v>
      </c>
      <c r="F14" s="17">
        <v>1</v>
      </c>
      <c r="G14" s="11">
        <f t="shared" si="0"/>
        <v>1</v>
      </c>
      <c r="H14" s="11" t="s">
        <v>122</v>
      </c>
      <c r="I14" s="11">
        <v>1</v>
      </c>
    </row>
    <row r="15" spans="2:9" x14ac:dyDescent="0.3">
      <c r="B15" s="7"/>
      <c r="C15" s="11">
        <f>SUM(C11:C14)</f>
        <v>1</v>
      </c>
      <c r="D15" s="11">
        <f t="shared" ref="D15:F15" si="1">SUM(D11:D14)</f>
        <v>1</v>
      </c>
      <c r="E15" s="11">
        <f t="shared" si="1"/>
        <v>1</v>
      </c>
      <c r="F15" s="11">
        <f t="shared" si="1"/>
        <v>1</v>
      </c>
      <c r="G15" s="7"/>
      <c r="H15" s="7"/>
      <c r="I15" s="7"/>
    </row>
    <row r="16" spans="2:9" x14ac:dyDescent="0.3">
      <c r="B16" s="7"/>
      <c r="C16" s="11" t="s">
        <v>122</v>
      </c>
      <c r="D16" s="11" t="s">
        <v>122</v>
      </c>
      <c r="E16" s="11" t="s">
        <v>122</v>
      </c>
      <c r="F16" s="11" t="s">
        <v>122</v>
      </c>
      <c r="G16" s="7"/>
      <c r="H16" s="7"/>
      <c r="I16" s="7"/>
    </row>
    <row r="17" spans="2:9" x14ac:dyDescent="0.3">
      <c r="B17" s="7"/>
      <c r="C17" s="11">
        <v>1</v>
      </c>
      <c r="D17" s="11">
        <v>1</v>
      </c>
      <c r="E17" s="11">
        <v>1</v>
      </c>
      <c r="F17" s="11">
        <v>1</v>
      </c>
      <c r="G17" s="7"/>
      <c r="H17" s="7"/>
      <c r="I17" s="7"/>
    </row>
  </sheetData>
  <mergeCells count="2">
    <mergeCell ref="B2:F2"/>
    <mergeCell ref="B9:F9"/>
  </mergeCells>
  <pageMargins left="0.25" right="0.25" top="0.75" bottom="0.75" header="0.3" footer="0.3"/>
  <pageSetup paperSize="9" fitToWidth="4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5485-0A1A-4F6D-AB87-739265726FCF}">
  <sheetPr>
    <tabColor theme="7" tint="-0.249977111117893"/>
    <pageSetUpPr fitToPage="1"/>
  </sheetPr>
  <dimension ref="B2:Q49"/>
  <sheetViews>
    <sheetView showGridLines="0" zoomScale="54" zoomScaleNormal="47" workbookViewId="0">
      <selection activeCell="G5" sqref="G5"/>
    </sheetView>
  </sheetViews>
  <sheetFormatPr defaultRowHeight="13.8" x14ac:dyDescent="0.25"/>
  <cols>
    <col min="1" max="1" width="3.21875" style="24" customWidth="1"/>
    <col min="2" max="2" width="2.33203125" style="24" customWidth="1"/>
    <col min="3" max="3" width="7.5546875" style="24" customWidth="1"/>
    <col min="4" max="4" width="35.33203125" style="24" bestFit="1" customWidth="1"/>
    <col min="5" max="5" width="18.21875" style="24" bestFit="1" customWidth="1"/>
    <col min="6" max="6" width="14.5546875" style="24" bestFit="1" customWidth="1"/>
    <col min="7" max="7" width="9.5546875" style="24" bestFit="1" customWidth="1"/>
    <col min="8" max="8" width="7.88671875" style="24" bestFit="1" customWidth="1"/>
    <col min="9" max="9" width="9.77734375" style="24" customWidth="1"/>
    <col min="10" max="10" width="2.33203125" style="24" customWidth="1"/>
    <col min="11" max="11" width="7.77734375" style="24" customWidth="1"/>
    <col min="12" max="12" width="35.33203125" style="24" bestFit="1" customWidth="1"/>
    <col min="13" max="13" width="8.109375" style="24" bestFit="1" customWidth="1"/>
    <col min="14" max="14" width="11.5546875" style="24" bestFit="1" customWidth="1"/>
    <col min="15" max="15" width="14" style="24" bestFit="1" customWidth="1"/>
    <col min="16" max="17" width="12.5546875" style="24" bestFit="1" customWidth="1"/>
    <col min="18" max="18" width="2.77734375" style="24" customWidth="1"/>
    <col min="19" max="16384" width="8.88671875" style="24"/>
  </cols>
  <sheetData>
    <row r="2" spans="2:17" x14ac:dyDescent="0.25">
      <c r="B2" s="23" t="s">
        <v>12</v>
      </c>
      <c r="J2" s="23" t="s">
        <v>50</v>
      </c>
    </row>
    <row r="3" spans="2:17" x14ac:dyDescent="0.25">
      <c r="B3" s="23" t="s">
        <v>334</v>
      </c>
      <c r="D3" s="23" t="s">
        <v>369</v>
      </c>
      <c r="J3" s="23" t="s">
        <v>334</v>
      </c>
      <c r="L3" s="23" t="s">
        <v>369</v>
      </c>
    </row>
    <row r="4" spans="2:17" x14ac:dyDescent="0.25">
      <c r="B4" s="23" t="s">
        <v>335</v>
      </c>
      <c r="J4" s="23" t="s">
        <v>335</v>
      </c>
    </row>
    <row r="5" spans="2:17" x14ac:dyDescent="0.25">
      <c r="B5" s="23" t="s">
        <v>13</v>
      </c>
    </row>
    <row r="6" spans="2:17" x14ac:dyDescent="0.25">
      <c r="B6" s="23" t="s">
        <v>14</v>
      </c>
    </row>
    <row r="7" spans="2:17" x14ac:dyDescent="0.25">
      <c r="B7" s="23"/>
      <c r="C7" s="24" t="s">
        <v>15</v>
      </c>
      <c r="J7" s="24" t="s">
        <v>25</v>
      </c>
    </row>
    <row r="8" spans="2:17" x14ac:dyDescent="0.25">
      <c r="B8" s="23"/>
      <c r="C8" s="24" t="s">
        <v>16</v>
      </c>
      <c r="K8" s="31"/>
      <c r="L8" s="31"/>
      <c r="M8" s="31" t="s">
        <v>51</v>
      </c>
      <c r="N8" s="31" t="s">
        <v>53</v>
      </c>
      <c r="O8" s="31" t="s">
        <v>55</v>
      </c>
      <c r="P8" s="31" t="s">
        <v>57</v>
      </c>
      <c r="Q8" s="31" t="s">
        <v>57</v>
      </c>
    </row>
    <row r="9" spans="2:17" x14ac:dyDescent="0.25">
      <c r="B9" s="23"/>
      <c r="C9" s="24" t="s">
        <v>336</v>
      </c>
      <c r="K9" s="31" t="s">
        <v>21</v>
      </c>
      <c r="L9" s="31" t="s">
        <v>22</v>
      </c>
      <c r="M9" s="31" t="s">
        <v>52</v>
      </c>
      <c r="N9" s="31" t="s">
        <v>54</v>
      </c>
      <c r="O9" s="31" t="s">
        <v>56</v>
      </c>
      <c r="P9" s="31" t="s">
        <v>58</v>
      </c>
      <c r="Q9" s="31" t="s">
        <v>59</v>
      </c>
    </row>
    <row r="10" spans="2:17" x14ac:dyDescent="0.25">
      <c r="B10" s="23" t="s">
        <v>17</v>
      </c>
      <c r="K10" s="32" t="s">
        <v>243</v>
      </c>
      <c r="L10" s="32" t="s">
        <v>337</v>
      </c>
      <c r="M10" s="32">
        <v>0</v>
      </c>
      <c r="N10" s="32">
        <v>5</v>
      </c>
      <c r="O10" s="32">
        <v>22</v>
      </c>
      <c r="P10" s="32">
        <v>1E+30</v>
      </c>
      <c r="Q10" s="32">
        <v>5</v>
      </c>
    </row>
    <row r="11" spans="2:17" x14ac:dyDescent="0.25">
      <c r="C11" s="24" t="s">
        <v>68</v>
      </c>
      <c r="K11" s="32" t="s">
        <v>245</v>
      </c>
      <c r="L11" s="32" t="s">
        <v>338</v>
      </c>
      <c r="M11" s="32">
        <v>1</v>
      </c>
      <c r="N11" s="32">
        <v>0</v>
      </c>
      <c r="O11" s="32">
        <v>15</v>
      </c>
      <c r="P11" s="32">
        <v>2</v>
      </c>
      <c r="Q11" s="32">
        <v>1E+30</v>
      </c>
    </row>
    <row r="12" spans="2:17" x14ac:dyDescent="0.25">
      <c r="C12" s="24" t="s">
        <v>19</v>
      </c>
      <c r="K12" s="32" t="s">
        <v>247</v>
      </c>
      <c r="L12" s="32" t="s">
        <v>339</v>
      </c>
      <c r="M12" s="32">
        <v>0</v>
      </c>
      <c r="N12" s="32">
        <v>0</v>
      </c>
      <c r="O12" s="32">
        <v>10</v>
      </c>
      <c r="P12" s="32">
        <v>6</v>
      </c>
      <c r="Q12" s="32">
        <v>2</v>
      </c>
    </row>
    <row r="13" spans="2:17" x14ac:dyDescent="0.25">
      <c r="K13" s="32" t="s">
        <v>34</v>
      </c>
      <c r="L13" s="32" t="s">
        <v>340</v>
      </c>
      <c r="M13" s="32">
        <v>0</v>
      </c>
      <c r="N13" s="32">
        <v>0</v>
      </c>
      <c r="O13" s="32">
        <v>18</v>
      </c>
      <c r="P13" s="32">
        <v>3</v>
      </c>
      <c r="Q13" s="32">
        <v>6</v>
      </c>
    </row>
    <row r="14" spans="2:17" x14ac:dyDescent="0.25">
      <c r="K14" s="32" t="s">
        <v>201</v>
      </c>
      <c r="L14" s="32" t="s">
        <v>341</v>
      </c>
      <c r="M14" s="32">
        <v>1</v>
      </c>
      <c r="N14" s="32">
        <v>0</v>
      </c>
      <c r="O14" s="32">
        <v>8</v>
      </c>
      <c r="P14" s="32">
        <v>3</v>
      </c>
      <c r="Q14" s="32">
        <v>1E+30</v>
      </c>
    </row>
    <row r="15" spans="2:17" x14ac:dyDescent="0.25">
      <c r="B15" s="24" t="s">
        <v>93</v>
      </c>
      <c r="K15" s="32" t="s">
        <v>202</v>
      </c>
      <c r="L15" s="32" t="s">
        <v>342</v>
      </c>
      <c r="M15" s="32">
        <v>0</v>
      </c>
      <c r="N15" s="32">
        <v>14</v>
      </c>
      <c r="O15" s="32">
        <v>20</v>
      </c>
      <c r="P15" s="32">
        <v>1E+30</v>
      </c>
      <c r="Q15" s="32">
        <v>14</v>
      </c>
    </row>
    <row r="16" spans="2:17" x14ac:dyDescent="0.25">
      <c r="C16" s="31" t="s">
        <v>21</v>
      </c>
      <c r="D16" s="31" t="s">
        <v>22</v>
      </c>
      <c r="E16" s="31" t="s">
        <v>23</v>
      </c>
      <c r="F16" s="31" t="s">
        <v>24</v>
      </c>
      <c r="K16" s="32" t="s">
        <v>203</v>
      </c>
      <c r="L16" s="32" t="s">
        <v>343</v>
      </c>
      <c r="M16" s="32">
        <v>0</v>
      </c>
      <c r="N16" s="32">
        <v>24</v>
      </c>
      <c r="O16" s="32">
        <v>25</v>
      </c>
      <c r="P16" s="32">
        <v>1E+30</v>
      </c>
      <c r="Q16" s="32">
        <v>24</v>
      </c>
    </row>
    <row r="17" spans="2:17" x14ac:dyDescent="0.25">
      <c r="C17" s="32" t="s">
        <v>296</v>
      </c>
      <c r="D17" s="35" t="s">
        <v>122</v>
      </c>
      <c r="E17" s="32">
        <v>38</v>
      </c>
      <c r="F17" s="32">
        <v>38</v>
      </c>
      <c r="K17" s="32" t="s">
        <v>204</v>
      </c>
      <c r="L17" s="32" t="s">
        <v>344</v>
      </c>
      <c r="M17" s="32">
        <v>0</v>
      </c>
      <c r="N17" s="32">
        <v>3</v>
      </c>
      <c r="O17" s="32">
        <v>12</v>
      </c>
      <c r="P17" s="32">
        <v>1E+30</v>
      </c>
      <c r="Q17" s="32">
        <v>3</v>
      </c>
    </row>
    <row r="18" spans="2:17" x14ac:dyDescent="0.25">
      <c r="K18" s="32" t="s">
        <v>206</v>
      </c>
      <c r="L18" s="32" t="s">
        <v>345</v>
      </c>
      <c r="M18" s="32">
        <v>0</v>
      </c>
      <c r="N18" s="32">
        <v>3</v>
      </c>
      <c r="O18" s="32">
        <v>15</v>
      </c>
      <c r="P18" s="32">
        <v>1E+30</v>
      </c>
      <c r="Q18" s="32">
        <v>3</v>
      </c>
    </row>
    <row r="19" spans="2:17" x14ac:dyDescent="0.25">
      <c r="K19" s="32" t="s">
        <v>207</v>
      </c>
      <c r="L19" s="32" t="s">
        <v>346</v>
      </c>
      <c r="M19" s="32">
        <v>0</v>
      </c>
      <c r="N19" s="32">
        <v>2</v>
      </c>
      <c r="O19" s="32">
        <v>12</v>
      </c>
      <c r="P19" s="32">
        <v>1E+30</v>
      </c>
      <c r="Q19" s="32">
        <v>2</v>
      </c>
    </row>
    <row r="20" spans="2:17" x14ac:dyDescent="0.25">
      <c r="B20" s="24" t="s">
        <v>25</v>
      </c>
      <c r="K20" s="32" t="s">
        <v>208</v>
      </c>
      <c r="L20" s="32" t="s">
        <v>347</v>
      </c>
      <c r="M20" s="32">
        <v>1</v>
      </c>
      <c r="N20" s="32">
        <v>0</v>
      </c>
      <c r="O20" s="32">
        <v>5</v>
      </c>
      <c r="P20" s="32">
        <v>2</v>
      </c>
      <c r="Q20" s="32">
        <v>1E+30</v>
      </c>
    </row>
    <row r="21" spans="2:17" x14ac:dyDescent="0.25">
      <c r="C21" s="31" t="s">
        <v>21</v>
      </c>
      <c r="D21" s="31" t="s">
        <v>22</v>
      </c>
      <c r="E21" s="31" t="s">
        <v>23</v>
      </c>
      <c r="F21" s="31" t="s">
        <v>24</v>
      </c>
      <c r="G21" s="31" t="s">
        <v>26</v>
      </c>
      <c r="K21" s="32" t="s">
        <v>209</v>
      </c>
      <c r="L21" s="32" t="s">
        <v>348</v>
      </c>
      <c r="M21" s="32">
        <v>0</v>
      </c>
      <c r="N21" s="32">
        <v>4</v>
      </c>
      <c r="O21" s="32">
        <v>17</v>
      </c>
      <c r="P21" s="32">
        <v>1E+30</v>
      </c>
      <c r="Q21" s="32">
        <v>4</v>
      </c>
    </row>
    <row r="22" spans="2:17" x14ac:dyDescent="0.25">
      <c r="C22" s="32" t="s">
        <v>243</v>
      </c>
      <c r="D22" s="32" t="s">
        <v>337</v>
      </c>
      <c r="E22" s="32">
        <v>0</v>
      </c>
      <c r="F22" s="32">
        <v>0</v>
      </c>
      <c r="G22" s="32" t="s">
        <v>35</v>
      </c>
      <c r="K22" s="32" t="s">
        <v>211</v>
      </c>
      <c r="L22" s="32" t="s">
        <v>349</v>
      </c>
      <c r="M22" s="32">
        <v>0</v>
      </c>
      <c r="N22" s="32">
        <v>0</v>
      </c>
      <c r="O22" s="32">
        <v>9</v>
      </c>
      <c r="P22" s="32">
        <v>3</v>
      </c>
      <c r="Q22" s="32">
        <v>3</v>
      </c>
    </row>
    <row r="23" spans="2:17" x14ac:dyDescent="0.25">
      <c r="C23" s="32" t="s">
        <v>245</v>
      </c>
      <c r="D23" s="32" t="s">
        <v>338</v>
      </c>
      <c r="E23" s="32">
        <v>1</v>
      </c>
      <c r="F23" s="32">
        <v>1</v>
      </c>
      <c r="G23" s="32" t="s">
        <v>35</v>
      </c>
      <c r="K23" s="32" t="s">
        <v>213</v>
      </c>
      <c r="L23" s="32" t="s">
        <v>350</v>
      </c>
      <c r="M23" s="32">
        <v>0</v>
      </c>
      <c r="N23" s="32">
        <v>6</v>
      </c>
      <c r="O23" s="32">
        <v>13</v>
      </c>
      <c r="P23" s="32">
        <v>1E+30</v>
      </c>
      <c r="Q23" s="32">
        <v>6</v>
      </c>
    </row>
    <row r="24" spans="2:17" x14ac:dyDescent="0.25">
      <c r="C24" s="32" t="s">
        <v>247</v>
      </c>
      <c r="D24" s="32" t="s">
        <v>339</v>
      </c>
      <c r="E24" s="32">
        <v>0</v>
      </c>
      <c r="F24" s="32">
        <v>0</v>
      </c>
      <c r="G24" s="32" t="s">
        <v>35</v>
      </c>
      <c r="K24" s="32" t="s">
        <v>214</v>
      </c>
      <c r="L24" s="32" t="s">
        <v>351</v>
      </c>
      <c r="M24" s="32">
        <v>0</v>
      </c>
      <c r="N24" s="32">
        <v>6</v>
      </c>
      <c r="O24" s="32">
        <v>8</v>
      </c>
      <c r="P24" s="32">
        <v>1E+30</v>
      </c>
      <c r="Q24" s="32">
        <v>6</v>
      </c>
    </row>
    <row r="25" spans="2:17" x14ac:dyDescent="0.25">
      <c r="C25" s="32" t="s">
        <v>34</v>
      </c>
      <c r="D25" s="32" t="s">
        <v>340</v>
      </c>
      <c r="E25" s="32">
        <v>0</v>
      </c>
      <c r="F25" s="32">
        <v>0</v>
      </c>
      <c r="G25" s="32" t="s">
        <v>35</v>
      </c>
      <c r="K25" s="32" t="s">
        <v>215</v>
      </c>
      <c r="L25" s="32" t="s">
        <v>352</v>
      </c>
      <c r="M25" s="32">
        <v>1</v>
      </c>
      <c r="N25" s="32">
        <v>0</v>
      </c>
      <c r="O25" s="32">
        <v>10</v>
      </c>
      <c r="P25" s="32">
        <v>3</v>
      </c>
      <c r="Q25" s="32">
        <v>3</v>
      </c>
    </row>
    <row r="26" spans="2:17" x14ac:dyDescent="0.25">
      <c r="C26" s="32" t="s">
        <v>201</v>
      </c>
      <c r="D26" s="32" t="s">
        <v>341</v>
      </c>
      <c r="E26" s="32">
        <v>1</v>
      </c>
      <c r="F26" s="32">
        <v>1</v>
      </c>
      <c r="G26" s="32" t="s">
        <v>35</v>
      </c>
    </row>
    <row r="27" spans="2:17" x14ac:dyDescent="0.25">
      <c r="C27" s="32" t="s">
        <v>202</v>
      </c>
      <c r="D27" s="32" t="s">
        <v>342</v>
      </c>
      <c r="E27" s="32">
        <v>0</v>
      </c>
      <c r="F27" s="32">
        <v>0</v>
      </c>
      <c r="G27" s="32" t="s">
        <v>35</v>
      </c>
      <c r="J27" s="24" t="s">
        <v>27</v>
      </c>
    </row>
    <row r="28" spans="2:17" x14ac:dyDescent="0.25">
      <c r="C28" s="32" t="s">
        <v>203</v>
      </c>
      <c r="D28" s="32" t="s">
        <v>343</v>
      </c>
      <c r="E28" s="32">
        <v>0</v>
      </c>
      <c r="F28" s="32">
        <v>0</v>
      </c>
      <c r="G28" s="32" t="s">
        <v>35</v>
      </c>
      <c r="K28" s="31"/>
      <c r="L28" s="31"/>
      <c r="M28" s="31" t="s">
        <v>51</v>
      </c>
      <c r="N28" s="31" t="s">
        <v>60</v>
      </c>
      <c r="O28" s="31" t="s">
        <v>62</v>
      </c>
      <c r="P28" s="31" t="s">
        <v>57</v>
      </c>
      <c r="Q28" s="31" t="s">
        <v>57</v>
      </c>
    </row>
    <row r="29" spans="2:17" x14ac:dyDescent="0.25">
      <c r="C29" s="32" t="s">
        <v>204</v>
      </c>
      <c r="D29" s="32" t="s">
        <v>344</v>
      </c>
      <c r="E29" s="32">
        <v>0</v>
      </c>
      <c r="F29" s="32">
        <v>0</v>
      </c>
      <c r="G29" s="32" t="s">
        <v>35</v>
      </c>
      <c r="K29" s="31" t="s">
        <v>21</v>
      </c>
      <c r="L29" s="31" t="s">
        <v>22</v>
      </c>
      <c r="M29" s="31" t="s">
        <v>52</v>
      </c>
      <c r="N29" s="31" t="s">
        <v>61</v>
      </c>
      <c r="O29" s="31" t="s">
        <v>63</v>
      </c>
      <c r="P29" s="31" t="s">
        <v>58</v>
      </c>
      <c r="Q29" s="31" t="s">
        <v>59</v>
      </c>
    </row>
    <row r="30" spans="2:17" x14ac:dyDescent="0.25">
      <c r="C30" s="32" t="s">
        <v>206</v>
      </c>
      <c r="D30" s="32" t="s">
        <v>345</v>
      </c>
      <c r="E30" s="32">
        <v>0</v>
      </c>
      <c r="F30" s="32">
        <v>0</v>
      </c>
      <c r="G30" s="32" t="s">
        <v>35</v>
      </c>
      <c r="K30" s="32" t="s">
        <v>153</v>
      </c>
      <c r="L30" s="32" t="s">
        <v>326</v>
      </c>
      <c r="M30" s="32">
        <v>1</v>
      </c>
      <c r="N30" s="32">
        <v>12</v>
      </c>
      <c r="O30" s="32">
        <v>1</v>
      </c>
      <c r="P30" s="32">
        <v>0</v>
      </c>
      <c r="Q30" s="32">
        <v>0</v>
      </c>
    </row>
    <row r="31" spans="2:17" x14ac:dyDescent="0.25">
      <c r="C31" s="32" t="s">
        <v>207</v>
      </c>
      <c r="D31" s="32" t="s">
        <v>346</v>
      </c>
      <c r="E31" s="32">
        <v>0</v>
      </c>
      <c r="F31" s="32">
        <v>0</v>
      </c>
      <c r="G31" s="32" t="s">
        <v>35</v>
      </c>
      <c r="K31" s="32" t="s">
        <v>155</v>
      </c>
      <c r="L31" s="32" t="s">
        <v>327</v>
      </c>
      <c r="M31" s="32">
        <v>1</v>
      </c>
      <c r="N31" s="32">
        <v>10</v>
      </c>
      <c r="O31" s="32">
        <v>1</v>
      </c>
      <c r="P31" s="32">
        <v>0</v>
      </c>
      <c r="Q31" s="32">
        <v>1</v>
      </c>
    </row>
    <row r="32" spans="2:17" x14ac:dyDescent="0.25">
      <c r="C32" s="32" t="s">
        <v>208</v>
      </c>
      <c r="D32" s="32" t="s">
        <v>347</v>
      </c>
      <c r="E32" s="32">
        <v>1</v>
      </c>
      <c r="F32" s="32">
        <v>1</v>
      </c>
      <c r="G32" s="32" t="s">
        <v>35</v>
      </c>
      <c r="K32" s="32" t="s">
        <v>157</v>
      </c>
      <c r="L32" s="32" t="s">
        <v>328</v>
      </c>
      <c r="M32" s="32">
        <v>1</v>
      </c>
      <c r="N32" s="32">
        <v>5</v>
      </c>
      <c r="O32" s="32">
        <v>1</v>
      </c>
      <c r="P32" s="32">
        <v>0</v>
      </c>
      <c r="Q32" s="32">
        <v>1</v>
      </c>
    </row>
    <row r="33" spans="2:17" x14ac:dyDescent="0.25">
      <c r="C33" s="32" t="s">
        <v>209</v>
      </c>
      <c r="D33" s="32" t="s">
        <v>348</v>
      </c>
      <c r="E33" s="32">
        <v>0</v>
      </c>
      <c r="F33" s="32">
        <v>0</v>
      </c>
      <c r="G33" s="32" t="s">
        <v>35</v>
      </c>
      <c r="K33" s="32" t="s">
        <v>159</v>
      </c>
      <c r="L33" s="32" t="s">
        <v>329</v>
      </c>
      <c r="M33" s="32">
        <v>1</v>
      </c>
      <c r="N33" s="32">
        <v>13</v>
      </c>
      <c r="O33" s="32">
        <v>1</v>
      </c>
      <c r="P33" s="32">
        <v>0</v>
      </c>
      <c r="Q33" s="32">
        <v>0</v>
      </c>
    </row>
    <row r="34" spans="2:17" x14ac:dyDescent="0.25">
      <c r="C34" s="32" t="s">
        <v>211</v>
      </c>
      <c r="D34" s="32" t="s">
        <v>349</v>
      </c>
      <c r="E34" s="32">
        <v>0</v>
      </c>
      <c r="F34" s="32">
        <v>0</v>
      </c>
      <c r="G34" s="32" t="s">
        <v>35</v>
      </c>
      <c r="K34" s="32" t="s">
        <v>36</v>
      </c>
      <c r="L34" s="32" t="s">
        <v>353</v>
      </c>
      <c r="M34" s="32">
        <v>1</v>
      </c>
      <c r="N34" s="32">
        <v>5</v>
      </c>
      <c r="O34" s="32">
        <v>1</v>
      </c>
      <c r="P34" s="32">
        <v>1</v>
      </c>
      <c r="Q34" s="32">
        <v>0</v>
      </c>
    </row>
    <row r="35" spans="2:17" x14ac:dyDescent="0.25">
      <c r="C35" s="32" t="s">
        <v>213</v>
      </c>
      <c r="D35" s="32" t="s">
        <v>350</v>
      </c>
      <c r="E35" s="32">
        <v>0</v>
      </c>
      <c r="F35" s="32">
        <v>0</v>
      </c>
      <c r="G35" s="32" t="s">
        <v>35</v>
      </c>
      <c r="K35" s="32" t="s">
        <v>205</v>
      </c>
      <c r="L35" s="32" t="s">
        <v>354</v>
      </c>
      <c r="M35" s="32">
        <v>1</v>
      </c>
      <c r="N35" s="32">
        <v>-4</v>
      </c>
      <c r="O35" s="32">
        <v>1</v>
      </c>
      <c r="P35" s="32">
        <v>0</v>
      </c>
      <c r="Q35" s="32">
        <v>0</v>
      </c>
    </row>
    <row r="36" spans="2:17" x14ac:dyDescent="0.25">
      <c r="C36" s="32" t="s">
        <v>214</v>
      </c>
      <c r="D36" s="32" t="s">
        <v>351</v>
      </c>
      <c r="E36" s="32">
        <v>0</v>
      </c>
      <c r="F36" s="32">
        <v>0</v>
      </c>
      <c r="G36" s="32" t="s">
        <v>35</v>
      </c>
      <c r="K36" s="32" t="s">
        <v>210</v>
      </c>
      <c r="L36" s="32" t="s">
        <v>355</v>
      </c>
      <c r="M36" s="32">
        <v>1</v>
      </c>
      <c r="N36" s="32">
        <v>0</v>
      </c>
      <c r="O36" s="32">
        <v>1</v>
      </c>
      <c r="P36" s="32">
        <v>0</v>
      </c>
      <c r="Q36" s="32">
        <v>1E+30</v>
      </c>
    </row>
    <row r="37" spans="2:17" x14ac:dyDescent="0.25">
      <c r="C37" s="32" t="s">
        <v>215</v>
      </c>
      <c r="D37" s="32" t="s">
        <v>352</v>
      </c>
      <c r="E37" s="32">
        <v>1</v>
      </c>
      <c r="F37" s="32">
        <v>1</v>
      </c>
      <c r="G37" s="32" t="s">
        <v>35</v>
      </c>
      <c r="K37" s="32" t="s">
        <v>216</v>
      </c>
      <c r="L37" s="32" t="s">
        <v>356</v>
      </c>
      <c r="M37" s="32">
        <v>1</v>
      </c>
      <c r="N37" s="32">
        <v>-3</v>
      </c>
      <c r="O37" s="32">
        <v>1</v>
      </c>
      <c r="P37" s="32">
        <v>0</v>
      </c>
      <c r="Q37" s="32">
        <v>0</v>
      </c>
    </row>
    <row r="40" spans="2:17" x14ac:dyDescent="0.25">
      <c r="B40" s="24" t="s">
        <v>27</v>
      </c>
    </row>
    <row r="41" spans="2:17" x14ac:dyDescent="0.25">
      <c r="C41" s="31" t="s">
        <v>21</v>
      </c>
      <c r="D41" s="31" t="s">
        <v>22</v>
      </c>
      <c r="E41" s="31" t="s">
        <v>28</v>
      </c>
      <c r="F41" s="31" t="s">
        <v>29</v>
      </c>
      <c r="G41" s="31" t="s">
        <v>30</v>
      </c>
      <c r="H41" s="31" t="s">
        <v>31</v>
      </c>
    </row>
    <row r="42" spans="2:17" x14ac:dyDescent="0.25">
      <c r="C42" s="32" t="s">
        <v>153</v>
      </c>
      <c r="D42" s="32" t="s">
        <v>326</v>
      </c>
      <c r="E42" s="32">
        <v>1</v>
      </c>
      <c r="F42" s="32" t="s">
        <v>313</v>
      </c>
      <c r="G42" s="32" t="s">
        <v>48</v>
      </c>
      <c r="H42" s="32">
        <v>0</v>
      </c>
    </row>
    <row r="43" spans="2:17" x14ac:dyDescent="0.25">
      <c r="C43" s="32" t="s">
        <v>155</v>
      </c>
      <c r="D43" s="32" t="s">
        <v>327</v>
      </c>
      <c r="E43" s="32">
        <v>1</v>
      </c>
      <c r="F43" s="32" t="s">
        <v>314</v>
      </c>
      <c r="G43" s="32" t="s">
        <v>48</v>
      </c>
      <c r="H43" s="32">
        <v>0</v>
      </c>
    </row>
    <row r="44" spans="2:17" x14ac:dyDescent="0.25">
      <c r="C44" s="32" t="s">
        <v>157</v>
      </c>
      <c r="D44" s="32" t="s">
        <v>328</v>
      </c>
      <c r="E44" s="32">
        <v>1</v>
      </c>
      <c r="F44" s="32" t="s">
        <v>315</v>
      </c>
      <c r="G44" s="32" t="s">
        <v>48</v>
      </c>
      <c r="H44" s="32">
        <v>0</v>
      </c>
    </row>
    <row r="45" spans="2:17" x14ac:dyDescent="0.25">
      <c r="C45" s="32" t="s">
        <v>159</v>
      </c>
      <c r="D45" s="32" t="s">
        <v>329</v>
      </c>
      <c r="E45" s="32">
        <v>1</v>
      </c>
      <c r="F45" s="32" t="s">
        <v>316</v>
      </c>
      <c r="G45" s="32" t="s">
        <v>48</v>
      </c>
      <c r="H45" s="32">
        <v>0</v>
      </c>
    </row>
    <row r="46" spans="2:17" x14ac:dyDescent="0.25">
      <c r="C46" s="32" t="s">
        <v>36</v>
      </c>
      <c r="D46" s="32" t="s">
        <v>353</v>
      </c>
      <c r="E46" s="32">
        <v>1</v>
      </c>
      <c r="F46" s="32" t="s">
        <v>318</v>
      </c>
      <c r="G46" s="32" t="s">
        <v>48</v>
      </c>
      <c r="H46" s="32">
        <v>0</v>
      </c>
    </row>
    <row r="47" spans="2:17" x14ac:dyDescent="0.25">
      <c r="C47" s="32" t="s">
        <v>205</v>
      </c>
      <c r="D47" s="32" t="s">
        <v>354</v>
      </c>
      <c r="E47" s="32">
        <v>1</v>
      </c>
      <c r="F47" s="32" t="s">
        <v>320</v>
      </c>
      <c r="G47" s="32" t="s">
        <v>48</v>
      </c>
      <c r="H47" s="32">
        <v>0</v>
      </c>
    </row>
    <row r="48" spans="2:17" x14ac:dyDescent="0.25">
      <c r="C48" s="32" t="s">
        <v>210</v>
      </c>
      <c r="D48" s="32" t="s">
        <v>355</v>
      </c>
      <c r="E48" s="32">
        <v>1</v>
      </c>
      <c r="F48" s="32" t="s">
        <v>322</v>
      </c>
      <c r="G48" s="32" t="s">
        <v>48</v>
      </c>
      <c r="H48" s="32">
        <v>0</v>
      </c>
    </row>
    <row r="49" spans="3:8" x14ac:dyDescent="0.25">
      <c r="C49" s="32" t="s">
        <v>216</v>
      </c>
      <c r="D49" s="32" t="s">
        <v>356</v>
      </c>
      <c r="E49" s="32">
        <v>1</v>
      </c>
      <c r="F49" s="32" t="s">
        <v>324</v>
      </c>
      <c r="G49" s="32" t="s">
        <v>48</v>
      </c>
      <c r="H49" s="32">
        <v>0</v>
      </c>
    </row>
  </sheetData>
  <pageMargins left="0.7" right="0.7" top="0.75" bottom="0.75" header="0.3" footer="0.3"/>
  <pageSetup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A471-E45C-4ED9-802E-AAD6A018D1FB}">
  <sheetPr>
    <tabColor theme="7" tint="-0.249977111117893"/>
    <pageSetUpPr fitToPage="1"/>
  </sheetPr>
  <dimension ref="A2:I24"/>
  <sheetViews>
    <sheetView tabSelected="1" view="pageBreakPreview" zoomScale="88" zoomScaleNormal="77" workbookViewId="0">
      <selection activeCell="S3" sqref="S3"/>
    </sheetView>
  </sheetViews>
  <sheetFormatPr defaultRowHeight="14.4" x14ac:dyDescent="0.3"/>
  <cols>
    <col min="1" max="1" width="3.109375" customWidth="1"/>
    <col min="2" max="2" width="13.21875" customWidth="1"/>
    <col min="3" max="3" width="16.5546875" bestFit="1" customWidth="1"/>
    <col min="4" max="4" width="18.77734375" bestFit="1" customWidth="1"/>
    <col min="5" max="5" width="24.88671875" bestFit="1" customWidth="1"/>
    <col min="6" max="6" width="14.77734375" bestFit="1" customWidth="1"/>
    <col min="7" max="7" width="14" bestFit="1" customWidth="1"/>
    <col min="8" max="8" width="6.88671875" customWidth="1"/>
  </cols>
  <sheetData>
    <row r="2" spans="2:9" x14ac:dyDescent="0.3">
      <c r="C2" s="56" t="s">
        <v>283</v>
      </c>
      <c r="D2" s="56"/>
      <c r="E2" s="56"/>
      <c r="F2" s="56"/>
      <c r="G2" s="22" t="s">
        <v>123</v>
      </c>
      <c r="H2" s="7"/>
      <c r="I2" s="7"/>
    </row>
    <row r="3" spans="2:9" x14ac:dyDescent="0.3">
      <c r="B3" s="3" t="s">
        <v>325</v>
      </c>
      <c r="C3" s="3" t="s">
        <v>326</v>
      </c>
      <c r="D3" s="3" t="s">
        <v>327</v>
      </c>
      <c r="E3" s="3" t="s">
        <v>328</v>
      </c>
      <c r="F3" s="3" t="s">
        <v>329</v>
      </c>
      <c r="G3" s="11" t="s">
        <v>7</v>
      </c>
      <c r="H3" s="11" t="s">
        <v>122</v>
      </c>
      <c r="I3" s="11">
        <f>SUMPRODUCT(C4:F7,C11:F14)</f>
        <v>38</v>
      </c>
    </row>
    <row r="4" spans="2:9" x14ac:dyDescent="0.3">
      <c r="B4" s="3" t="s">
        <v>330</v>
      </c>
      <c r="C4" s="17">
        <v>22</v>
      </c>
      <c r="D4" s="17">
        <v>15</v>
      </c>
      <c r="E4" s="17">
        <v>10</v>
      </c>
      <c r="F4" s="17">
        <v>18</v>
      </c>
    </row>
    <row r="5" spans="2:9" x14ac:dyDescent="0.3">
      <c r="B5" s="3" t="s">
        <v>331</v>
      </c>
      <c r="C5" s="17">
        <v>8</v>
      </c>
      <c r="D5" s="17">
        <v>20</v>
      </c>
      <c r="E5" s="17">
        <v>25</v>
      </c>
      <c r="F5" s="17">
        <v>12</v>
      </c>
    </row>
    <row r="6" spans="2:9" x14ac:dyDescent="0.3">
      <c r="B6" s="3" t="s">
        <v>332</v>
      </c>
      <c r="C6" s="17">
        <v>15</v>
      </c>
      <c r="D6" s="17">
        <v>12</v>
      </c>
      <c r="E6" s="17">
        <v>5</v>
      </c>
      <c r="F6" s="17">
        <v>17</v>
      </c>
    </row>
    <row r="7" spans="2:9" x14ac:dyDescent="0.3">
      <c r="B7" s="3" t="s">
        <v>333</v>
      </c>
      <c r="C7" s="17">
        <v>9</v>
      </c>
      <c r="D7" s="17">
        <v>13</v>
      </c>
      <c r="E7" s="17">
        <v>8</v>
      </c>
      <c r="F7" s="17">
        <v>10</v>
      </c>
    </row>
    <row r="9" spans="2:9" x14ac:dyDescent="0.3">
      <c r="C9" s="56" t="s">
        <v>283</v>
      </c>
      <c r="D9" s="56"/>
      <c r="E9" s="56"/>
      <c r="F9" s="56"/>
    </row>
    <row r="10" spans="2:9" x14ac:dyDescent="0.3">
      <c r="B10" s="3" t="s">
        <v>325</v>
      </c>
      <c r="C10" s="3" t="s">
        <v>326</v>
      </c>
      <c r="D10" s="3" t="s">
        <v>327</v>
      </c>
      <c r="E10" s="3" t="s">
        <v>328</v>
      </c>
      <c r="F10" s="3" t="s">
        <v>329</v>
      </c>
    </row>
    <row r="11" spans="2:9" x14ac:dyDescent="0.3">
      <c r="B11" s="3" t="s">
        <v>330</v>
      </c>
      <c r="C11" s="17">
        <v>0</v>
      </c>
      <c r="D11" s="17">
        <v>1</v>
      </c>
      <c r="E11" s="17">
        <v>0</v>
      </c>
      <c r="F11" s="20">
        <v>0</v>
      </c>
      <c r="G11" s="11">
        <f>SUM(C11+D11+E11+F11)</f>
        <v>1</v>
      </c>
      <c r="H11" s="11" t="s">
        <v>122</v>
      </c>
      <c r="I11" s="11">
        <v>1</v>
      </c>
    </row>
    <row r="12" spans="2:9" x14ac:dyDescent="0.3">
      <c r="B12" s="3" t="s">
        <v>331</v>
      </c>
      <c r="C12" s="17">
        <v>1</v>
      </c>
      <c r="D12" s="17">
        <v>0</v>
      </c>
      <c r="E12" s="17">
        <v>0</v>
      </c>
      <c r="F12" s="20">
        <v>0</v>
      </c>
      <c r="G12" s="11">
        <f t="shared" ref="G12:G14" si="0">SUM(C12+D12+E12+F12)</f>
        <v>1</v>
      </c>
      <c r="H12" s="11" t="s">
        <v>122</v>
      </c>
      <c r="I12" s="11">
        <v>1</v>
      </c>
    </row>
    <row r="13" spans="2:9" x14ac:dyDescent="0.3">
      <c r="B13" s="3" t="s">
        <v>332</v>
      </c>
      <c r="C13" s="17">
        <v>0</v>
      </c>
      <c r="D13" s="17">
        <v>0</v>
      </c>
      <c r="E13" s="17">
        <v>1</v>
      </c>
      <c r="F13" s="20">
        <v>0</v>
      </c>
      <c r="G13" s="11">
        <f t="shared" si="0"/>
        <v>1</v>
      </c>
      <c r="H13" s="11" t="s">
        <v>122</v>
      </c>
      <c r="I13" s="11">
        <v>1</v>
      </c>
    </row>
    <row r="14" spans="2:9" x14ac:dyDescent="0.3">
      <c r="B14" s="3" t="s">
        <v>333</v>
      </c>
      <c r="C14" s="17">
        <v>0</v>
      </c>
      <c r="D14" s="17">
        <v>0</v>
      </c>
      <c r="E14" s="17">
        <v>0</v>
      </c>
      <c r="F14" s="20">
        <v>1</v>
      </c>
      <c r="G14" s="11">
        <f t="shared" si="0"/>
        <v>1</v>
      </c>
      <c r="H14" s="11" t="s">
        <v>122</v>
      </c>
      <c r="I14" s="11">
        <v>1</v>
      </c>
    </row>
    <row r="15" spans="2:9" x14ac:dyDescent="0.3">
      <c r="C15" s="11">
        <f>SUM(C11+C12+C13+C14)</f>
        <v>1</v>
      </c>
      <c r="D15" s="11">
        <f t="shared" ref="D15:F15" si="1">SUM(D11+D12+D13+D14)</f>
        <v>1</v>
      </c>
      <c r="E15" s="11">
        <f t="shared" si="1"/>
        <v>1</v>
      </c>
      <c r="F15" s="11">
        <f t="shared" si="1"/>
        <v>1</v>
      </c>
    </row>
    <row r="16" spans="2:9" x14ac:dyDescent="0.3">
      <c r="C16" s="11" t="s">
        <v>122</v>
      </c>
      <c r="D16" s="11" t="s">
        <v>122</v>
      </c>
      <c r="E16" s="11" t="s">
        <v>122</v>
      </c>
      <c r="F16" s="11" t="s">
        <v>122</v>
      </c>
    </row>
    <row r="17" spans="1:9" x14ac:dyDescent="0.3">
      <c r="C17" s="11">
        <v>1</v>
      </c>
      <c r="D17" s="11">
        <v>1</v>
      </c>
      <c r="E17" s="11">
        <v>1</v>
      </c>
      <c r="F17" s="11">
        <v>1</v>
      </c>
    </row>
    <row r="19" spans="1:9" x14ac:dyDescent="0.3">
      <c r="A19" s="1"/>
      <c r="B19" s="57"/>
      <c r="C19" s="57"/>
      <c r="D19" s="57"/>
      <c r="E19" s="57"/>
      <c r="F19" s="7"/>
      <c r="G19" s="7"/>
      <c r="H19" s="7"/>
      <c r="I19" s="7"/>
    </row>
    <row r="20" spans="1:9" x14ac:dyDescent="0.3">
      <c r="A20" s="1"/>
      <c r="B20" s="1"/>
      <c r="C20" s="1"/>
      <c r="D20" s="1"/>
      <c r="E20" s="1"/>
      <c r="F20" s="7"/>
      <c r="G20" s="7"/>
      <c r="H20" s="7"/>
      <c r="I20" s="7"/>
    </row>
    <row r="21" spans="1:9" x14ac:dyDescent="0.3">
      <c r="A21" s="1"/>
      <c r="B21" s="1"/>
      <c r="C21" s="1"/>
      <c r="D21" s="1"/>
      <c r="E21" s="1"/>
      <c r="F21" s="7"/>
      <c r="G21" s="21"/>
      <c r="H21" s="21"/>
      <c r="I21" s="21"/>
    </row>
    <row r="22" spans="1:9" x14ac:dyDescent="0.3">
      <c r="A22" s="1"/>
      <c r="B22" s="1"/>
      <c r="C22" s="1"/>
      <c r="D22" s="1"/>
      <c r="E22" s="1"/>
      <c r="F22" s="7"/>
      <c r="G22" s="7"/>
      <c r="H22" s="7"/>
      <c r="I22" s="7"/>
    </row>
    <row r="23" spans="1:9" x14ac:dyDescent="0.3">
      <c r="A23" s="1"/>
      <c r="B23" s="1"/>
      <c r="C23" s="1"/>
      <c r="D23" s="1"/>
      <c r="E23" s="1"/>
      <c r="F23" s="7"/>
      <c r="G23" s="7"/>
      <c r="H23" s="7"/>
      <c r="I23" s="7"/>
    </row>
    <row r="24" spans="1:9" x14ac:dyDescent="0.3">
      <c r="A24" s="1"/>
      <c r="B24" s="1"/>
      <c r="C24" s="1"/>
      <c r="D24" s="1"/>
      <c r="E24" s="1"/>
      <c r="F24" s="7"/>
      <c r="G24" s="7"/>
      <c r="H24" s="7"/>
      <c r="I24" s="7"/>
    </row>
  </sheetData>
  <mergeCells count="3">
    <mergeCell ref="C2:F2"/>
    <mergeCell ref="C9:F9"/>
    <mergeCell ref="B19:E19"/>
  </mergeCells>
  <pageMargins left="0.25" right="0.25" top="0.75" bottom="0.75" header="0.3" footer="0.3"/>
  <pageSetup paperSize="9" fitToWidth="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3D96A3-791E-4194-8BD7-5919C5C090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15</vt:i4>
      </vt:variant>
    </vt:vector>
  </HeadingPairs>
  <TitlesOfParts>
    <vt:vector size="35" baseType="lpstr">
      <vt:lpstr>Answer Report 1EX-4, P1</vt:lpstr>
      <vt:lpstr>EX-4, P1</vt:lpstr>
      <vt:lpstr>Answer Report 1 EX-4, P2</vt:lpstr>
      <vt:lpstr>EX-4, P2</vt:lpstr>
      <vt:lpstr>Answer Report 1EX-5, P1</vt:lpstr>
      <vt:lpstr>EX-5, P1</vt:lpstr>
      <vt:lpstr>Answer Report 1</vt:lpstr>
      <vt:lpstr>EX-5, P2</vt:lpstr>
      <vt:lpstr>Answer Report 2</vt:lpstr>
      <vt:lpstr>Answer Report 3</vt:lpstr>
      <vt:lpstr>Sensitivity Report 1</vt:lpstr>
      <vt:lpstr>EX-6, P1</vt:lpstr>
      <vt:lpstr>Answer Report 1EX-6, P2</vt:lpstr>
      <vt:lpstr>EX-6, P2</vt:lpstr>
      <vt:lpstr>Answer Report 1 EX-6, P3</vt:lpstr>
      <vt:lpstr>EX-6, P3</vt:lpstr>
      <vt:lpstr>Answer Report 1EX-7, P1</vt:lpstr>
      <vt:lpstr>EX-7, P1</vt:lpstr>
      <vt:lpstr>Answer Report 1EX-7, P2</vt:lpstr>
      <vt:lpstr>EX-7, P2</vt:lpstr>
      <vt:lpstr>'Answer Report 1 EX-4, P2'!Print_Area</vt:lpstr>
      <vt:lpstr>'Answer Report 1 EX-6, P3'!Print_Area</vt:lpstr>
      <vt:lpstr>'Answer Report 1EX-5, P1'!Print_Area</vt:lpstr>
      <vt:lpstr>'Answer Report 1EX-6, P2'!Print_Area</vt:lpstr>
      <vt:lpstr>'Answer Report 1EX-7, P1'!Print_Area</vt:lpstr>
      <vt:lpstr>'Answer Report 1EX-7, P2'!Print_Area</vt:lpstr>
      <vt:lpstr>'EX-4, P1'!Print_Area</vt:lpstr>
      <vt:lpstr>'EX-4, P2'!Print_Area</vt:lpstr>
      <vt:lpstr>'EX-5, P1'!Print_Area</vt:lpstr>
      <vt:lpstr>'EX-5, P2'!Print_Area</vt:lpstr>
      <vt:lpstr>'EX-6, P1'!Print_Area</vt:lpstr>
      <vt:lpstr>'EX-6, P2'!Print_Area</vt:lpstr>
      <vt:lpstr>'EX-6, P3'!Print_Area</vt:lpstr>
      <vt:lpstr>'EX-7, P1'!Print_Area</vt:lpstr>
      <vt:lpstr>'EX-7, P2'!Print_Area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Abhi</dc:creator>
  <cp:lastModifiedBy>aryannlodha@gmail.com</cp:lastModifiedBy>
  <cp:lastPrinted>2026-06-22T04:04:50Z</cp:lastPrinted>
  <dcterms:created xsi:type="dcterms:W3CDTF">2015-06-05T18:17:20Z</dcterms:created>
  <dcterms:modified xsi:type="dcterms:W3CDTF">2026-06-22T07:48:03Z</dcterms:modified>
</cp:coreProperties>
</file>